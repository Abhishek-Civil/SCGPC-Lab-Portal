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- Instructions" sheetId="1" state="visible" r:id="rId3"/>
    <sheet name="1 - Mix Reference" sheetId="2" state="visible" r:id="rId4"/>
    <sheet name="2 - Raw Data Entry" sheetId="3" state="visible" r:id="rId5"/>
    <sheet name="3 - Graphs (Auto)" sheetId="4" state="visible" r:id="rId6"/>
    <sheet name="4 - Residual Strength Summary" sheetId="5" state="visible" r:id="rId7"/>
    <sheet name="5 - Mass Loss Summary" sheetId="6" state="visible" r:id="rId8"/>
    <sheet name="6 - Visual Observations Log" sheetId="7" state="visible" r:id="rId9"/>
    <sheet name="7 - Schedule &amp; Checklist" sheetId="8" state="visible" r:id="rId10"/>
    <sheet name="8 - Chart 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<sst xmlns="http://schemas.openxmlformats.org/spreadsheetml/2006/main" count="820" uniqueCount="357">
  <si>
    <t xml:space="preserve">How to Use This Workbook</t>
  </si>
  <si>
    <t xml:space="preserve">Sheet</t>
  </si>
  <si>
    <t xml:space="preserve">Purpose</t>
  </si>
  <si>
    <t xml:space="preserve">What to do</t>
  </si>
  <si>
    <t xml:space="preserve">0 - Instructions</t>
  </si>
  <si>
    <t xml:space="preserve">This sheet</t>
  </si>
  <si>
    <t xml:space="preserve">Read before starting.</t>
  </si>
  <si>
    <t xml:space="preserve">1 - Mix Reference</t>
  </si>
  <si>
    <t xml:space="preserve">Lists all 12 SCBA mixes (SCBA 0–25% × NaOH 4M / 6M) with Fly Ash / GGBS split</t>
  </si>
  <si>
    <t xml:space="preserve">Enter the 28-day strength (MPa) of each mix once Batch 1 provides it. Enter it ONCE — Sheet 2 picks it up automatically.</t>
  </si>
  <si>
    <t xml:space="preserve">2 - Raw Data Entry</t>
  </si>
  <si>
    <t xml:space="preserve">Main data entry sheet — 144 rows (12 mixes × 4 temperatures × 3 replicates)</t>
  </si>
  <si>
    <t xml:space="preserve">Fill YELLOW cells during or immediately after testing. GREEN cells calculate automatically.</t>
  </si>
  <si>
    <t xml:space="preserve">3 - Graphs (Auto)</t>
  </si>
  <si>
    <t xml:space="preserve">12 automatic bar charts and curve diagrams, placed before the results tables</t>
  </si>
  <si>
    <t xml:space="preserve">No entry needed. Charts redraw themselves as data is typed into Sheet 2.</t>
  </si>
  <si>
    <t xml:space="preserve">4 - Residual Strength Summary</t>
  </si>
  <si>
    <t xml:space="preserve">Auto-summary — residual strength % per mix per temperature (average of 3 replicates)</t>
  </si>
  <si>
    <t xml:space="preserve">No manual entry needed. Also shows the best mix at each temperature.</t>
  </si>
  <si>
    <t xml:space="preserve">5 - Mass Loss Summary</t>
  </si>
  <si>
    <t xml:space="preserve">Auto-summary — mass loss % per mix per temperature (average of 3 replicates)</t>
  </si>
  <si>
    <t xml:space="preserve">No manual entry needed.</t>
  </si>
  <si>
    <t xml:space="preserve">6 - Visual Observations Log</t>
  </si>
  <si>
    <t xml:space="preserve">Written record of colour, cracking, spalling for each specimen</t>
  </si>
  <si>
    <t xml:space="preserve">Fill YELLOW cells after each fire batch.</t>
  </si>
  <si>
    <t xml:space="preserve">7 - Schedule &amp; Checklist</t>
  </si>
  <si>
    <t xml:space="preserve">Week-by-week testing plan + pre-test checklist</t>
  </si>
  <si>
    <t xml:space="preserve">Tick off checklist items before starting. Mark completed batches.</t>
  </si>
  <si>
    <t xml:space="preserve">8 - Chart Data</t>
  </si>
  <si>
    <t xml:space="preserve">Helper tables that feed the charts (formulas only)</t>
  </si>
  <si>
    <t xml:space="preserve">Do not edit. Grey 'N/A' cells simply mean 'data not entered yet' — this keeps chart lines from dropping to zero.</t>
  </si>
  <si>
    <t xml:space="preserve">COLOUR LEGEND</t>
  </si>
  <si>
    <t xml:space="preserve">Yellow cells</t>
  </si>
  <si>
    <t xml:space="preserve">INPUT — you must fill these in manually</t>
  </si>
  <si>
    <t xml:space="preserve">Green cells</t>
  </si>
  <si>
    <t xml:space="preserve">AUTO-CALCULATED — do not type here; formula fills automatically</t>
  </si>
  <si>
    <t xml:space="preserve">Blue header</t>
  </si>
  <si>
    <t xml:space="preserve">Column/section header</t>
  </si>
  <si>
    <t xml:space="preserve">Orange</t>
  </si>
  <si>
    <t xml:space="preserve">Important notice, warning, or key mix (M9)</t>
  </si>
  <si>
    <t xml:space="preserve">WORKED EXAMPLE — specimen M9-600-3 (values are for illustration only; not part of the data set)</t>
  </si>
  <si>
    <t xml:space="preserve">Item</t>
  </si>
  <si>
    <t xml:space="preserve">Value</t>
  </si>
  <si>
    <t xml:space="preserve">How it is calculated</t>
  </si>
  <si>
    <t xml:space="preserve">Pre-fire mass (g)</t>
  </si>
  <si>
    <t xml:space="preserve">Input — digital balance before furnace loading</t>
  </si>
  <si>
    <t xml:space="preserve">Post-fire mass (g)</t>
  </si>
  <si>
    <t xml:space="preserve">Input — after complete natural cooling</t>
  </si>
  <si>
    <t xml:space="preserve">Failure load (kN)</t>
  </si>
  <si>
    <t xml:space="preserve">Input — read from CTM display</t>
  </si>
  <si>
    <t xml:space="preserve">28-day strength (MPa)</t>
  </si>
  <si>
    <t xml:space="preserve">Input — from Batch 1, entered in Sheet 1</t>
  </si>
  <si>
    <t xml:space="preserve">Mass loss (%)</t>
  </si>
  <si>
    <t xml:space="preserve">((Pre − Post) ÷ Pre) × 100</t>
  </si>
  <si>
    <t xml:space="preserve">Failure load (N)</t>
  </si>
  <si>
    <t xml:space="preserve">kN × 1000</t>
  </si>
  <si>
    <t xml:space="preserve">Residual comp. strength (MPa)</t>
  </si>
  <si>
    <t xml:space="preserve">Failure load (N) ÷ 10,000 mm²  (100 mm cube face area)</t>
  </si>
  <si>
    <t xml:space="preserve">Residual strength (%)</t>
  </si>
  <si>
    <t xml:space="preserve">(Post-fire MPa ÷ 28-day MPa) × 100</t>
  </si>
  <si>
    <t xml:space="preserve">SCGPC Fire Resistance Study — Mix Reference Table</t>
  </si>
  <si>
    <t xml:space="preserve">12 SCBA mixes prepared by M.Tech student | B.Tech Batch 2 — C Section | Fly Ash : GGBS = 70 : 30 of the remaining binder | Na₂SiO₃ : NaOH = 1 | SCBA replaces the TOTAL Fly Ash–GGBS binder by weight</t>
  </si>
  <si>
    <t xml:space="preserve">Mix ID</t>
  </si>
  <si>
    <t xml:space="preserve">SCBA Replacement (%)</t>
  </si>
  <si>
    <t xml:space="preserve">NaOH Molarity</t>
  </si>
  <si>
    <t xml:space="preserve">Fly Ash (%)
[auto]</t>
  </si>
  <si>
    <t xml:space="preserve">GGBS (%)
[auto]</t>
  </si>
  <si>
    <t xml:space="preserve">Category</t>
  </si>
  <si>
    <t xml:space="preserve">Notes</t>
  </si>
  <si>
    <t xml:space="preserve">28-Day Strength (MPa)
[from Batch 1 — fill in]</t>
  </si>
  <si>
    <t xml:space="preserve">M0</t>
  </si>
  <si>
    <t xml:space="preserve">4M</t>
  </si>
  <si>
    <t xml:space="preserve">Control</t>
  </si>
  <si>
    <t xml:space="preserve">Baseline — no SCBA, FA:GGBS 70:30</t>
  </si>
  <si>
    <t xml:space="preserve">M1</t>
  </si>
  <si>
    <t xml:space="preserve">SCBA 4M</t>
  </si>
  <si>
    <t xml:space="preserve">M2</t>
  </si>
  <si>
    <t xml:space="preserve">M3</t>
  </si>
  <si>
    <t xml:space="preserve">M4</t>
  </si>
  <si>
    <t xml:space="preserve">M5</t>
  </si>
  <si>
    <t xml:space="preserve">Upper bound — watch workability</t>
  </si>
  <si>
    <t xml:space="preserve">M6</t>
  </si>
  <si>
    <t xml:space="preserve">6M</t>
  </si>
  <si>
    <t xml:space="preserve">M7</t>
  </si>
  <si>
    <t xml:space="preserve">SCBA 6M</t>
  </si>
  <si>
    <t xml:space="preserve">M8</t>
  </si>
  <si>
    <t xml:space="preserve">M9</t>
  </si>
  <si>
    <t xml:space="preserve">Likely optimum — key mix</t>
  </si>
  <si>
    <t xml:space="preserve">M10</t>
  </si>
  <si>
    <t xml:space="preserve">M11</t>
  </si>
  <si>
    <t xml:space="preserve">Example of SCBA logic: a mix at 10% SCBA has 90% Fly Ash + GGBS (split 70 : 30 → 63.0% Fly Ash, 27.0% GGBS) plus 10% SCBA. Total specimens = 12 mixes × 4 temperatures × 3 replicates = 144 cubes.</t>
  </si>
  <si>
    <t xml:space="preserve">SCGPC Fire Resistance — Raw Data Entry Sheet</t>
  </si>
  <si>
    <t xml:space="preserve">Fill YELLOW cells during testing. GREEN cells are auto-calculated. Never enter data from memory — fill on the same day as testing. Cube = 100 mm (area 10,000 mm²). Cool naturally — NEVER quench with water.</t>
  </si>
  <si>
    <t xml:space="preserve">SPECIMEN IDENTIFICATION</t>
  </si>
  <si>
    <t xml:space="preserve">PRE-FIRE</t>
  </si>
  <si>
    <t xml:space="preserve">POST-FIRE</t>
  </si>
  <si>
    <t xml:space="preserve">STRENGTH TESTING (CTM)</t>
  </si>
  <si>
    <t xml:space="preserve">CALCULATED RESULTS</t>
  </si>
  <si>
    <t xml:space="preserve">Temperature
(°C)</t>
  </si>
  <si>
    <t xml:space="preserve">Replicate
(1/2/3)</t>
  </si>
  <si>
    <t xml:space="preserve">Pre-Fire
Mass (g)</t>
  </si>
  <si>
    <t xml:space="preserve">Pre-Fire
Condition Notes</t>
  </si>
  <si>
    <t xml:space="preserve">Post-Fire
Mass (g)</t>
  </si>
  <si>
    <t xml:space="preserve">Colour
Change</t>
  </si>
  <si>
    <t xml:space="preserve">Surface
Cracks
(Y/N)</t>
  </si>
  <si>
    <t xml:space="preserve">Spalling
(Y/N)</t>
  </si>
  <si>
    <t xml:space="preserve">Failure
Load (kN)</t>
  </si>
  <si>
    <t xml:space="preserve">Failure
Load (N)
[auto]</t>
  </si>
  <si>
    <t xml:space="preserve">28-Day
Strength
(MPa) [auto]</t>
  </si>
  <si>
    <t xml:space="preserve">Mass
Loss (%)
[auto]</t>
  </si>
  <si>
    <t xml:space="preserve">Residual
Comp. Str.
(MPa) [auto]</t>
  </si>
  <si>
    <t xml:space="preserve">Residual
Strength
(%) [auto]</t>
  </si>
  <si>
    <t xml:space="preserve">Photo
Reference
(filename)</t>
  </si>
  <si>
    <t xml:space="preserve">Automatic Graphs — Bar Charts &amp; Curve Diagrams</t>
  </si>
  <si>
    <t xml:space="preserve">All charts redraw automatically as data is entered in Sheet 2. Empty charts simply mean no data has been entered yet. Source tables: Sheet 8 (Chart Data). Detailed results tables follow in Sheets 4 and 5.</t>
  </si>
  <si>
    <t xml:space="preserve">A.  CURVE DIAGRAMS — Residual strength (%) vs Temperature</t>
  </si>
  <si>
    <t xml:space="preserve">B.  CURVE DIAGRAMS — Effect of SCBA replacement level at each temperature</t>
  </si>
  <si>
    <t xml:space="preserve">C.  CURVE DIAGRAMS — Mass loss (%) vs Temperature</t>
  </si>
  <si>
    <t xml:space="preserve">D.  BAR CHARTS — Comparison of all 12 mixes (clustered by temperature)</t>
  </si>
  <si>
    <t xml:space="preserve">E.  KEY COMPARISONS — Control vs key mix, and NaOH 4M vs 6M</t>
  </si>
  <si>
    <t xml:space="preserve">Residual Strength Summary — Average per Mix per Temperature</t>
  </si>
  <si>
    <t xml:space="preserve">Values are AVERAGE of 3 replicates. Residual Strength % = (Post-fire MPa ÷ Original 28-day MPa) × 100. This table is the central finding of the research paper. Shows 'Data pending' until all 3 replicates are entered.</t>
  </si>
  <si>
    <t xml:space="preserve">200°C
Residual Str (%)</t>
  </si>
  <si>
    <t xml:space="preserve">400°C
Residual Str (%)</t>
  </si>
  <si>
    <t xml:space="preserve">600°C
Residual Str (%)</t>
  </si>
  <si>
    <t xml:space="preserve">800°C
Residual Str (%)</t>
  </si>
  <si>
    <t xml:space="preserve">Control | 4M</t>
  </si>
  <si>
    <t xml:space="preserve">SCBA 5% | 4M</t>
  </si>
  <si>
    <t xml:space="preserve">SCBA 10% | 4M</t>
  </si>
  <si>
    <t xml:space="preserve">SCBA 15% | 4M</t>
  </si>
  <si>
    <t xml:space="preserve">SCBA 20% | 4M</t>
  </si>
  <si>
    <t xml:space="preserve">SCBA 25% | 4M</t>
  </si>
  <si>
    <t xml:space="preserve">Control | 6M</t>
  </si>
  <si>
    <t xml:space="preserve">SCBA 5% | 6M</t>
  </si>
  <si>
    <t xml:space="preserve">SCBA 10% | 6M</t>
  </si>
  <si>
    <t xml:space="preserve">SCBA 15% | 6M</t>
  </si>
  <si>
    <t xml:space="preserve">SCBA 20% | 6M</t>
  </si>
  <si>
    <t xml:space="preserve">SCBA 25% | 6M</t>
  </si>
  <si>
    <t xml:space="preserve">Best mix (highest residual %)</t>
  </si>
  <si>
    <t xml:space="preserve">Auto — updates as data is entered</t>
  </si>
  <si>
    <t xml:space="preserve">Mass Loss Summary — Average per Mix per Temperature</t>
  </si>
  <si>
    <t xml:space="preserve">Mass Loss % = ((Pre-fire mass − Post-fire mass) ÷ Pre-fire mass) × 100  |  Values are average of 3 replicates.</t>
  </si>
  <si>
    <t xml:space="preserve">200°C
Mass Loss (%)</t>
  </si>
  <si>
    <t xml:space="preserve">400°C
Mass Loss (%)</t>
  </si>
  <si>
    <t xml:space="preserve">600°C
Mass Loss (%)</t>
  </si>
  <si>
    <t xml:space="preserve">800°C
Mass Loss (%)</t>
  </si>
  <si>
    <t xml:space="preserve">Lowest mass loss (best mix)</t>
  </si>
  <si>
    <t xml:space="preserve">Visual Observations Log — Post-Fire Appearance</t>
  </si>
  <si>
    <t xml:space="preserve">Colour guide: White/Grey = moderate heating | Brown/Reddish ≈ 400°C | Dark grey ≥ 600°C. Record for every specimen (144 rows).</t>
  </si>
  <si>
    <t xml:space="preserve">Specimen Label
(Mix-Temp-Rep)</t>
  </si>
  <si>
    <t xml:space="preserve">Temperature (°C)</t>
  </si>
  <si>
    <t xml:space="preserve">Replicate</t>
  </si>
  <si>
    <t xml:space="preserve">Colour Description</t>
  </si>
  <si>
    <t xml:space="preserve">Cracks
(None/Minor/Major)</t>
  </si>
  <si>
    <t xml:space="preserve">Spalling
(None/Partial/Severe)</t>
  </si>
  <si>
    <t xml:space="preserve">Additional Notes</t>
  </si>
  <si>
    <t xml:space="preserve">M0-200-1</t>
  </si>
  <si>
    <t xml:space="preserve">M0-200-2</t>
  </si>
  <si>
    <t xml:space="preserve">M0-200-3</t>
  </si>
  <si>
    <t xml:space="preserve">M1-200-1</t>
  </si>
  <si>
    <t xml:space="preserve">M1-200-2</t>
  </si>
  <si>
    <t xml:space="preserve">M1-200-3</t>
  </si>
  <si>
    <t xml:space="preserve">M2-200-1</t>
  </si>
  <si>
    <t xml:space="preserve">M2-200-2</t>
  </si>
  <si>
    <t xml:space="preserve">M2-200-3</t>
  </si>
  <si>
    <t xml:space="preserve">M3-200-1</t>
  </si>
  <si>
    <t xml:space="preserve">M3-200-2</t>
  </si>
  <si>
    <t xml:space="preserve">M3-200-3</t>
  </si>
  <si>
    <t xml:space="preserve">M4-200-1</t>
  </si>
  <si>
    <t xml:space="preserve">M4-200-2</t>
  </si>
  <si>
    <t xml:space="preserve">M4-200-3</t>
  </si>
  <si>
    <t xml:space="preserve">M5-200-1</t>
  </si>
  <si>
    <t xml:space="preserve">M5-200-2</t>
  </si>
  <si>
    <t xml:space="preserve">M5-200-3</t>
  </si>
  <si>
    <t xml:space="preserve">M6-200-1</t>
  </si>
  <si>
    <t xml:space="preserve">M6-200-2</t>
  </si>
  <si>
    <t xml:space="preserve">M6-200-3</t>
  </si>
  <si>
    <t xml:space="preserve">M7-200-1</t>
  </si>
  <si>
    <t xml:space="preserve">M7-200-2</t>
  </si>
  <si>
    <t xml:space="preserve">M7-200-3</t>
  </si>
  <si>
    <t xml:space="preserve">M8-200-1</t>
  </si>
  <si>
    <t xml:space="preserve">M8-200-2</t>
  </si>
  <si>
    <t xml:space="preserve">M8-200-3</t>
  </si>
  <si>
    <t xml:space="preserve">M9-200-1</t>
  </si>
  <si>
    <t xml:space="preserve">M9-200-2</t>
  </si>
  <si>
    <t xml:space="preserve">M9-200-3</t>
  </si>
  <si>
    <t xml:space="preserve">M10-200-1</t>
  </si>
  <si>
    <t xml:space="preserve">M10-200-2</t>
  </si>
  <si>
    <t xml:space="preserve">M10-200-3</t>
  </si>
  <si>
    <t xml:space="preserve">M11-200-1</t>
  </si>
  <si>
    <t xml:space="preserve">M11-200-2</t>
  </si>
  <si>
    <t xml:space="preserve">M11-200-3</t>
  </si>
  <si>
    <t xml:space="preserve">M0-400-1</t>
  </si>
  <si>
    <t xml:space="preserve">M0-400-2</t>
  </si>
  <si>
    <t xml:space="preserve">M0-400-3</t>
  </si>
  <si>
    <t xml:space="preserve">M1-400-1</t>
  </si>
  <si>
    <t xml:space="preserve">M1-400-2</t>
  </si>
  <si>
    <t xml:space="preserve">M1-400-3</t>
  </si>
  <si>
    <t xml:space="preserve">M2-400-1</t>
  </si>
  <si>
    <t xml:space="preserve">M2-400-2</t>
  </si>
  <si>
    <t xml:space="preserve">M2-400-3</t>
  </si>
  <si>
    <t xml:space="preserve">M3-400-1</t>
  </si>
  <si>
    <t xml:space="preserve">M3-400-2</t>
  </si>
  <si>
    <t xml:space="preserve">M3-400-3</t>
  </si>
  <si>
    <t xml:space="preserve">M4-400-1</t>
  </si>
  <si>
    <t xml:space="preserve">M4-400-2</t>
  </si>
  <si>
    <t xml:space="preserve">M4-400-3</t>
  </si>
  <si>
    <t xml:space="preserve">M5-400-1</t>
  </si>
  <si>
    <t xml:space="preserve">M5-400-2</t>
  </si>
  <si>
    <t xml:space="preserve">M5-400-3</t>
  </si>
  <si>
    <t xml:space="preserve">M6-400-1</t>
  </si>
  <si>
    <t xml:space="preserve">M6-400-2</t>
  </si>
  <si>
    <t xml:space="preserve">M6-400-3</t>
  </si>
  <si>
    <t xml:space="preserve">M7-400-1</t>
  </si>
  <si>
    <t xml:space="preserve">M7-400-2</t>
  </si>
  <si>
    <t xml:space="preserve">M7-400-3</t>
  </si>
  <si>
    <t xml:space="preserve">M8-400-1</t>
  </si>
  <si>
    <t xml:space="preserve">M8-400-2</t>
  </si>
  <si>
    <t xml:space="preserve">M8-400-3</t>
  </si>
  <si>
    <t xml:space="preserve">M9-400-1</t>
  </si>
  <si>
    <t xml:space="preserve">M9-400-2</t>
  </si>
  <si>
    <t xml:space="preserve">M9-400-3</t>
  </si>
  <si>
    <t xml:space="preserve">M10-400-1</t>
  </si>
  <si>
    <t xml:space="preserve">M10-400-2</t>
  </si>
  <si>
    <t xml:space="preserve">M10-400-3</t>
  </si>
  <si>
    <t xml:space="preserve">M11-400-1</t>
  </si>
  <si>
    <t xml:space="preserve">M11-400-2</t>
  </si>
  <si>
    <t xml:space="preserve">M11-400-3</t>
  </si>
  <si>
    <t xml:space="preserve">M0-600-1</t>
  </si>
  <si>
    <t xml:space="preserve">M0-600-2</t>
  </si>
  <si>
    <t xml:space="preserve">M0-600-3</t>
  </si>
  <si>
    <t xml:space="preserve">M1-600-1</t>
  </si>
  <si>
    <t xml:space="preserve">M1-600-2</t>
  </si>
  <si>
    <t xml:space="preserve">M1-600-3</t>
  </si>
  <si>
    <t xml:space="preserve">M2-600-1</t>
  </si>
  <si>
    <t xml:space="preserve">M2-600-2</t>
  </si>
  <si>
    <t xml:space="preserve">M2-600-3</t>
  </si>
  <si>
    <t xml:space="preserve">M3-600-1</t>
  </si>
  <si>
    <t xml:space="preserve">M3-600-2</t>
  </si>
  <si>
    <t xml:space="preserve">M3-600-3</t>
  </si>
  <si>
    <t xml:space="preserve">M4-600-1</t>
  </si>
  <si>
    <t xml:space="preserve">M4-600-2</t>
  </si>
  <si>
    <t xml:space="preserve">M4-600-3</t>
  </si>
  <si>
    <t xml:space="preserve">M5-600-1</t>
  </si>
  <si>
    <t xml:space="preserve">M5-600-2</t>
  </si>
  <si>
    <t xml:space="preserve">M5-600-3</t>
  </si>
  <si>
    <t xml:space="preserve">M6-600-1</t>
  </si>
  <si>
    <t xml:space="preserve">M6-600-2</t>
  </si>
  <si>
    <t xml:space="preserve">M6-600-3</t>
  </si>
  <si>
    <t xml:space="preserve">M7-600-1</t>
  </si>
  <si>
    <t xml:space="preserve">M7-600-2</t>
  </si>
  <si>
    <t xml:space="preserve">M7-600-3</t>
  </si>
  <si>
    <t xml:space="preserve">M8-600-1</t>
  </si>
  <si>
    <t xml:space="preserve">M8-600-2</t>
  </si>
  <si>
    <t xml:space="preserve">M8-600-3</t>
  </si>
  <si>
    <t xml:space="preserve">M9-600-1</t>
  </si>
  <si>
    <t xml:space="preserve">M9-600-2</t>
  </si>
  <si>
    <t xml:space="preserve">M9-600-3</t>
  </si>
  <si>
    <t xml:space="preserve">M10-600-1</t>
  </si>
  <si>
    <t xml:space="preserve">M10-600-2</t>
  </si>
  <si>
    <t xml:space="preserve">M10-600-3</t>
  </si>
  <si>
    <t xml:space="preserve">M11-600-1</t>
  </si>
  <si>
    <t xml:space="preserve">M11-600-2</t>
  </si>
  <si>
    <t xml:space="preserve">M11-600-3</t>
  </si>
  <si>
    <t xml:space="preserve">M0-800-1</t>
  </si>
  <si>
    <t xml:space="preserve">M0-800-2</t>
  </si>
  <si>
    <t xml:space="preserve">M0-800-3</t>
  </si>
  <si>
    <t xml:space="preserve">M1-800-1</t>
  </si>
  <si>
    <t xml:space="preserve">M1-800-2</t>
  </si>
  <si>
    <t xml:space="preserve">M1-800-3</t>
  </si>
  <si>
    <t xml:space="preserve">M2-800-1</t>
  </si>
  <si>
    <t xml:space="preserve">M2-800-2</t>
  </si>
  <si>
    <t xml:space="preserve">M2-800-3</t>
  </si>
  <si>
    <t xml:space="preserve">M3-800-1</t>
  </si>
  <si>
    <t xml:space="preserve">M3-800-2</t>
  </si>
  <si>
    <t xml:space="preserve">M3-800-3</t>
  </si>
  <si>
    <t xml:space="preserve">M4-800-1</t>
  </si>
  <si>
    <t xml:space="preserve">M4-800-2</t>
  </si>
  <si>
    <t xml:space="preserve">M4-800-3</t>
  </si>
  <si>
    <t xml:space="preserve">M5-800-1</t>
  </si>
  <si>
    <t xml:space="preserve">M5-800-2</t>
  </si>
  <si>
    <t xml:space="preserve">M5-800-3</t>
  </si>
  <si>
    <t xml:space="preserve">M6-800-1</t>
  </si>
  <si>
    <t xml:space="preserve">M6-800-2</t>
  </si>
  <si>
    <t xml:space="preserve">M6-800-3</t>
  </si>
  <si>
    <t xml:space="preserve">M7-800-1</t>
  </si>
  <si>
    <t xml:space="preserve">M7-800-2</t>
  </si>
  <si>
    <t xml:space="preserve">M7-800-3</t>
  </si>
  <si>
    <t xml:space="preserve">M8-800-1</t>
  </si>
  <si>
    <t xml:space="preserve">M8-800-2</t>
  </si>
  <si>
    <t xml:space="preserve">M8-800-3</t>
  </si>
  <si>
    <t xml:space="preserve">M9-800-1</t>
  </si>
  <si>
    <t xml:space="preserve">M9-800-2</t>
  </si>
  <si>
    <t xml:space="preserve">M9-800-3</t>
  </si>
  <si>
    <t xml:space="preserve">M10-800-1</t>
  </si>
  <si>
    <t xml:space="preserve">M10-800-2</t>
  </si>
  <si>
    <t xml:space="preserve">M10-800-3</t>
  </si>
  <si>
    <t xml:space="preserve">M11-800-1</t>
  </si>
  <si>
    <t xml:space="preserve">M11-800-2</t>
  </si>
  <si>
    <t xml:space="preserve">M11-800-3</t>
  </si>
  <si>
    <t xml:space="preserve">Testing Schedule &amp; Completion Checklist — Weeks 14–16</t>
  </si>
  <si>
    <t xml:space="preserve">Week</t>
  </si>
  <si>
    <t xml:space="preserve">Temperature Batch</t>
  </si>
  <si>
    <t xml:space="preserve">Cubes</t>
  </si>
  <si>
    <t xml:space="preserve">Task Description</t>
  </si>
  <si>
    <t xml:space="preserve">Completed?
(Y/N)</t>
  </si>
  <si>
    <t xml:space="preserve">Specimens tested
[auto]</t>
  </si>
  <si>
    <t xml:space="preserve">Week 14</t>
  </si>
  <si>
    <t xml:space="preserve">200°C</t>
  </si>
  <si>
    <t xml:space="preserve">Trial run first — verify procedure and equipment. Fire 12 mixes × 3 replicates at 200°C (5–10°C/min, hold 2 hrs). Cool naturally. Weigh, photograph, test CTM. Record all data.</t>
  </si>
  <si>
    <t xml:space="preserve">400°C</t>
  </si>
  <si>
    <t xml:space="preserve">After 200°C batch is complete. Fire 12 mixes × 3 replicates at 400°C. Cool naturally. Weigh, photograph, test CTM. Record all data.</t>
  </si>
  <si>
    <t xml:space="preserve">Week 15</t>
  </si>
  <si>
    <t xml:space="preserve">600°C</t>
  </si>
  <si>
    <t xml:space="preserve">Expect visible colour changes and some cracking. Allow longer cooling. Weigh, photograph, test CTM. Record all data.</t>
  </si>
  <si>
    <t xml:space="preserve">Week 16</t>
  </si>
  <si>
    <t xml:space="preserve">800°C</t>
  </si>
  <si>
    <t xml:space="preserve">Most extreme exposure. Some mixes may show spalling and significant mass loss. Document everything carefully. Hand over data to M.Tech student.</t>
  </si>
  <si>
    <t xml:space="preserve">PRE-TEST CHECKLIST</t>
  </si>
  <si>
    <t xml:space="preserve">☐</t>
  </si>
  <si>
    <t xml:space="preserve">Furnace booked for all 3 weeks (Week 14, 15, 16) — 3-week blockout confirmed</t>
  </si>
  <si>
    <t xml:space="preserve">28-day strength values received from M.Tech student (for all 12 mixes) and entered in Sheet 1</t>
  </si>
  <si>
    <t xml:space="preserve">Excel data sheet prepared and labelled</t>
  </si>
  <si>
    <t xml:space="preserve">Digital balance available and calibrated</t>
  </si>
  <si>
    <t xml:space="preserve">CTM (Compression Testing Machine) available and calibrated — loading rate 2.5 kN/s</t>
  </si>
  <si>
    <t xml:space="preserve">Heat-resistant gloves, tongs and safety goggles available</t>
  </si>
  <si>
    <t xml:space="preserve">Camera / phone ready for photographs</t>
  </si>
  <si>
    <t xml:space="preserve">Lab ventilation confirmed for 600°C and 800°C runs</t>
  </si>
  <si>
    <t xml:space="preserve">All 144 cubes received and verified from M.Tech student</t>
  </si>
  <si>
    <t xml:space="preserve">All cubes labelled: Mix ID — Temperature — Replicate number (e.g., M3-400-2)</t>
  </si>
  <si>
    <t xml:space="preserve">⚠ NEVER quench specimens with water. Natural air cooling only. Do not exceed 10°C/min heating rate. Never touch hot specimens with bare hands.</t>
  </si>
  <si>
    <t xml:space="preserve">Chart Data — helper tables that feed the charts on Sheet 3 (do not edit)</t>
  </si>
  <si>
    <t xml:space="preserve">Grey N/A values = data not yet entered. This is intentional: charts leave a gap instead of plotting zero. Everything here is formula-driven from Sheets 1, 4 and 5 and from the raw data.</t>
  </si>
  <si>
    <t xml:space="preserve">T1 — Residual strength (%) per mix</t>
  </si>
  <si>
    <t xml:space="preserve">Mix</t>
  </si>
  <si>
    <t xml:space="preserve">SCBA %</t>
  </si>
  <si>
    <t xml:space="preserve">T2 — Mass loss (%) per mix</t>
  </si>
  <si>
    <t xml:space="preserve">T3 — Residual compressive strength (MPa), average of 3 replicates</t>
  </si>
  <si>
    <t xml:space="preserve">T4 — 28-day strength (MPa) by mix</t>
  </si>
  <si>
    <t xml:space="preserve">28-day (MPa)</t>
  </si>
  <si>
    <t xml:space="preserve">T5 — Residual strength (%) vs SCBA %, NaOH 4M  (rows = temperature)</t>
  </si>
  <si>
    <t xml:space="preserve">Temp \ SCBA %</t>
  </si>
  <si>
    <t xml:space="preserve">0%</t>
  </si>
  <si>
    <t xml:space="preserve">5%</t>
  </si>
  <si>
    <t xml:space="preserve">10%</t>
  </si>
  <si>
    <t xml:space="preserve">15%</t>
  </si>
  <si>
    <t xml:space="preserve">20%</t>
  </si>
  <si>
    <t xml:space="preserve">25%</t>
  </si>
  <si>
    <t xml:space="preserve">T6 — Residual strength (%) vs SCBA %, NaOH 6M  (rows = temperature)</t>
  </si>
  <si>
    <t xml:space="preserve">T7 — Key comparison: residual strength (%) vs temperature</t>
  </si>
  <si>
    <t xml:space="preserve">Series</t>
  </si>
  <si>
    <t xml:space="preserve">M0 Control 4M</t>
  </si>
  <si>
    <t xml:space="preserve">M6 Control 6M</t>
  </si>
  <si>
    <t xml:space="preserve">M9 Key mix (15% SCBA, 6M)</t>
  </si>
  <si>
    <t xml:space="preserve">T8 — Average over all SCBA levels: NaOH 4M vs 6M</t>
  </si>
  <si>
    <t xml:space="preserve">4M — avg residual (%)</t>
  </si>
  <si>
    <t xml:space="preserve">6M — avg residual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</si>
</sst>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0"/>
    <numFmt numFmtId="168" formatCode="#,##0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2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9999"/>
        </patternFill>
      </fill>
    </dxf>
    <dxf>
      <font>
        <name val="Arial"/>
        <charset val="1"/>
        <family val="0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808080"/>
      <rgbColor rgb="FFA6A6A6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DC3E6"/>
      <rgbColor rgb="FFFF9999"/>
      <rgbColor rgb="FFCC99FF"/>
      <rgbColor rgb="FFF4B183"/>
      <rgbColor rgb="FF2E75B6"/>
      <rgbColor rgb="FF33CCCC"/>
      <rgbColor rgb="FF99CC00"/>
      <rgbColor rgb="FFFFCC00"/>
      <rgbColor rgb="FFFF9900"/>
      <rgbColor rgb="FFC55A11"/>
      <rgbColor rgb="FF7F7F7F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Strength vs Temperature — NaOH 4M (M0–M5)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Data'!$A$5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Data'!$B$5:$E$5</c:f>
              <c:numCache>
                <c:formatCode>0.00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'8 - Chart Data'!$A$6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Data'!$B$6:$E$6</c:f>
              <c:numCache>
                <c:formatCode>0.00</c:formatCode>
                <c:ptCount val="4"/>
              </c:numCache>
            </c:numRef>
          </c:val>
          <c:smooth val="1"/>
        </c:ser>
        <c:ser>
          <c:idx val="2"/>
          <c:order val="2"/>
          <c:tx>
            <c:strRef>
              <c:f>'8 - Chart Data'!$A$7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Data'!$B$7:$E$7</c:f>
              <c:numCache>
                <c:formatCode>0.00</c:formatCode>
                <c:ptCount val="4"/>
              </c:numCache>
            </c:numRef>
          </c:val>
          <c:smooth val="1"/>
        </c:ser>
        <c:ser>
          <c:idx val="3"/>
          <c:order val="3"/>
          <c:tx>
            <c:strRef>
              <c:f>'8 - Chart Data'!$A$8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Data'!$B$8:$E$8</c:f>
              <c:numCache>
                <c:formatCode>0.00</c:formatCode>
                <c:ptCount val="4"/>
              </c:numCache>
            </c:numRef>
          </c:val>
          <c:smooth val="1"/>
        </c:ser>
        <c:ser>
          <c:idx val="4"/>
          <c:order val="4"/>
          <c:tx>
            <c:strRef>
              <c:f>'8 - Chart Data'!$A$9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rgbClr val="f4b183"/>
            </a:solidFill>
            <a:ln w="21960">
              <a:solidFill>
                <a:srgbClr val="f4b183"/>
              </a:solidFill>
              <a:round/>
            </a:ln>
          </c:spPr>
          <c:marker>
            <c:symbol val="circle"/>
            <c:size val="6"/>
            <c:spPr>
              <a:solidFill>
                <a:srgbClr val="f4b18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Data'!$B$9:$E$9</c:f>
              <c:numCache>
                <c:formatCode>0.00</c:formatCode>
                <c:ptCount val="4"/>
              </c:numCache>
            </c:numRef>
          </c:val>
          <c:smooth val="1"/>
        </c:ser>
        <c:ser>
          <c:idx val="5"/>
          <c:order val="5"/>
          <c:tx>
            <c:strRef>
              <c:f>'8 - Chart Data'!$A$10</c:f>
              <c:strCache>
                <c:ptCount val="1"/>
                <c:pt idx="0">
                  <c:v>M5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Data'!$B$10:$E$10</c:f>
              <c:numCache>
                <c:formatCode>0.00</c:formatCode>
                <c:ptCount val="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3976243"/>
        <c:axId val="39111686"/>
      </c:lineChart>
      <c:catAx>
        <c:axId val="23976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Exposure 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11686"/>
        <c:crosses val="autoZero"/>
        <c:auto val="1"/>
        <c:lblAlgn val="ctr"/>
        <c:lblOffset val="100"/>
        <c:noMultiLvlLbl val="0"/>
      </c:catAx>
      <c:valAx>
        <c:axId val="39111686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762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Strength vs Temperature — NaOH 6M (M6–M11)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Data'!$A$11</c:f>
              <c:strCache>
                <c:ptCount val="1"/>
                <c:pt idx="0">
                  <c:v>M6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Data'!$B$11:$E$11</c:f>
              <c:numCache>
                <c:formatCode>0.00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'8 - Chart Data'!$A$12</c:f>
              <c:strCache>
                <c:ptCount val="1"/>
                <c:pt idx="0">
                  <c:v>M7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Data'!$B$12:$E$12</c:f>
              <c:numCache>
                <c:formatCode>0.00</c:formatCode>
                <c:ptCount val="4"/>
              </c:numCache>
            </c:numRef>
          </c:val>
          <c:smooth val="1"/>
        </c:ser>
        <c:ser>
          <c:idx val="2"/>
          <c:order val="2"/>
          <c:tx>
            <c:strRef>
              <c:f>'8 - Chart Data'!$A$13</c:f>
              <c:strCache>
                <c:ptCount val="1"/>
                <c:pt idx="0">
                  <c:v>M8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Data'!$B$13:$E$13</c:f>
              <c:numCache>
                <c:formatCode>0.00</c:formatCode>
                <c:ptCount val="4"/>
              </c:numCache>
            </c:numRef>
          </c:val>
          <c:smooth val="1"/>
        </c:ser>
        <c:ser>
          <c:idx val="3"/>
          <c:order val="3"/>
          <c:tx>
            <c:strRef>
              <c:f>'8 - Chart Data'!$A$14</c:f>
              <c:strCache>
                <c:ptCount val="1"/>
                <c:pt idx="0">
                  <c:v>M9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Data'!$B$14:$E$14</c:f>
              <c:numCache>
                <c:formatCode>0.00</c:formatCode>
                <c:ptCount val="4"/>
              </c:numCache>
            </c:numRef>
          </c:val>
          <c:smooth val="1"/>
        </c:ser>
        <c:ser>
          <c:idx val="4"/>
          <c:order val="4"/>
          <c:tx>
            <c:strRef>
              <c:f>'8 - Chart Data'!$A$15</c:f>
              <c:strCache>
                <c:ptCount val="1"/>
                <c:pt idx="0">
                  <c:v>M10</c:v>
                </c:pt>
              </c:strCache>
            </c:strRef>
          </c:tx>
          <c:spPr>
            <a:solidFill>
              <a:srgbClr val="f4b183"/>
            </a:solidFill>
            <a:ln w="21960">
              <a:solidFill>
                <a:srgbClr val="f4b183"/>
              </a:solidFill>
              <a:round/>
            </a:ln>
          </c:spPr>
          <c:marker>
            <c:symbol val="circle"/>
            <c:size val="6"/>
            <c:spPr>
              <a:solidFill>
                <a:srgbClr val="f4b18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Data'!$B$15:$E$15</c:f>
              <c:numCache>
                <c:formatCode>0.00</c:formatCode>
                <c:ptCount val="4"/>
              </c:numCache>
            </c:numRef>
          </c:val>
          <c:smooth val="1"/>
        </c:ser>
        <c:ser>
          <c:idx val="5"/>
          <c:order val="5"/>
          <c:tx>
            <c:strRef>
              <c:f>'8 - Chart Data'!$A$16</c:f>
              <c:strCache>
                <c:ptCount val="1"/>
                <c:pt idx="0">
                  <c:v>M11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Data'!$B$4:$E$4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Data'!$B$16:$E$16</c:f>
              <c:numCache>
                <c:formatCode>0.00</c:formatCode>
                <c:ptCount val="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2510290"/>
        <c:axId val="33460645"/>
      </c:lineChart>
      <c:catAx>
        <c:axId val="125102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Exposure 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60645"/>
        <c:crosses val="autoZero"/>
        <c:auto val="1"/>
        <c:lblAlgn val="ctr"/>
        <c:lblOffset val="100"/>
        <c:noMultiLvlLbl val="0"/>
      </c:catAx>
      <c:valAx>
        <c:axId val="33460645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102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Strength vs SCBA % — NaOH 4M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Data'!$A$69</c:f>
              <c:strCache>
                <c:ptCount val="1"/>
                <c:pt idx="0">
                  <c:v>200°C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Data'!$B$68:$G$68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Data'!$B$69:$G$69</c:f>
              <c:numCache>
                <c:formatCode>0.0</c:formatCode>
                <c:ptCount val="6"/>
              </c:numCache>
            </c:numRef>
          </c:val>
          <c:smooth val="1"/>
        </c:ser>
        <c:ser>
          <c:idx val="1"/>
          <c:order val="1"/>
          <c:tx>
            <c:strRef>
              <c:f>'8 - Chart Data'!$A$70</c:f>
              <c:strCache>
                <c:ptCount val="1"/>
                <c:pt idx="0">
                  <c:v>400°C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Data'!$B$68:$G$68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Data'!$B$70:$G$70</c:f>
              <c:numCache>
                <c:formatCode>0.0</c:formatCode>
                <c:ptCount val="6"/>
              </c:numCache>
            </c:numRef>
          </c:val>
          <c:smooth val="1"/>
        </c:ser>
        <c:ser>
          <c:idx val="2"/>
          <c:order val="2"/>
          <c:tx>
            <c:strRef>
              <c:f>'8 - Chart Data'!$A$71</c:f>
              <c:strCache>
                <c:ptCount val="1"/>
                <c:pt idx="0">
                  <c:v>600°C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Data'!$B$68:$G$68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Data'!$B$71:$G$71</c:f>
              <c:numCache>
                <c:formatCode>0.0</c:formatCode>
                <c:ptCount val="6"/>
              </c:numCache>
            </c:numRef>
          </c:val>
          <c:smooth val="1"/>
        </c:ser>
        <c:ser>
          <c:idx val="3"/>
          <c:order val="3"/>
          <c:tx>
            <c:strRef>
              <c:f>'8 - Chart Data'!$A$72</c:f>
              <c:strCache>
                <c:ptCount val="1"/>
                <c:pt idx="0">
                  <c:v>800°C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Data'!$B$68:$G$68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Data'!$B$72:$G$72</c:f>
              <c:numCache>
                <c:formatCode>0.0</c:formatCode>
                <c:ptCount val="6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5413506"/>
        <c:axId val="37905388"/>
      </c:lineChart>
      <c:catAx>
        <c:axId val="35413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SCBA replacement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05388"/>
        <c:crosses val="autoZero"/>
        <c:auto val="1"/>
        <c:lblAlgn val="ctr"/>
        <c:lblOffset val="100"/>
        <c:noMultiLvlLbl val="0"/>
      </c:catAx>
      <c:valAx>
        <c:axId val="37905388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135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Strength vs SCBA % — NaOH 6M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Data'!$A$77</c:f>
              <c:strCache>
                <c:ptCount val="1"/>
                <c:pt idx="0">
                  <c:v>200°C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Data'!$B$76:$G$76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Data'!$B$77:$G$77</c:f>
              <c:numCache>
                <c:formatCode>0.0</c:formatCode>
                <c:ptCount val="6"/>
              </c:numCache>
            </c:numRef>
          </c:val>
          <c:smooth val="1"/>
        </c:ser>
        <c:ser>
          <c:idx val="1"/>
          <c:order val="1"/>
          <c:tx>
            <c:strRef>
              <c:f>'8 - Chart Data'!$A$78</c:f>
              <c:strCache>
                <c:ptCount val="1"/>
                <c:pt idx="0">
                  <c:v>400°C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Data'!$B$76:$G$76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Data'!$B$78:$G$78</c:f>
              <c:numCache>
                <c:formatCode>0.0</c:formatCode>
                <c:ptCount val="6"/>
              </c:numCache>
            </c:numRef>
          </c:val>
          <c:smooth val="1"/>
        </c:ser>
        <c:ser>
          <c:idx val="2"/>
          <c:order val="2"/>
          <c:tx>
            <c:strRef>
              <c:f>'8 - Chart Data'!$A$79</c:f>
              <c:strCache>
                <c:ptCount val="1"/>
                <c:pt idx="0">
                  <c:v>600°C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Data'!$B$76:$G$76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Data'!$B$79:$G$79</c:f>
              <c:numCache>
                <c:formatCode>0.0</c:formatCode>
                <c:ptCount val="6"/>
              </c:numCache>
            </c:numRef>
          </c:val>
          <c:smooth val="1"/>
        </c:ser>
        <c:ser>
          <c:idx val="3"/>
          <c:order val="3"/>
          <c:tx>
            <c:strRef>
              <c:f>'8 - Chart Data'!$A$80</c:f>
              <c:strCache>
                <c:ptCount val="1"/>
                <c:pt idx="0">
                  <c:v>800°C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Data'!$B$76:$G$76</c:f>
              <c:strCache>
                <c:ptCount val="6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</c:strCache>
            </c:strRef>
          </c:cat>
          <c:val>
            <c:numRef>
              <c:f>'8 - Chart Data'!$B$80:$G$80</c:f>
              <c:numCache>
                <c:formatCode>0.0</c:formatCode>
                <c:ptCount val="6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3862321"/>
        <c:axId val="53896523"/>
      </c:lineChart>
      <c:catAx>
        <c:axId val="738623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SCBA replacement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96523"/>
        <c:crosses val="autoZero"/>
        <c:auto val="1"/>
        <c:lblAlgn val="ctr"/>
        <c:lblOffset val="100"/>
        <c:noMultiLvlLbl val="0"/>
      </c:catAx>
      <c:valAx>
        <c:axId val="53896523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623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Mass Loss vs Temperature — NaOH 4M (M0–M5)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Data'!$A$21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Data'!$B$21:$E$21</c:f>
              <c:numCache>
                <c:formatCode>0.00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'8 - Chart Data'!$A$22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Data'!$B$22:$E$22</c:f>
              <c:numCache>
                <c:formatCode>0.00</c:formatCode>
                <c:ptCount val="4"/>
              </c:numCache>
            </c:numRef>
          </c:val>
          <c:smooth val="1"/>
        </c:ser>
        <c:ser>
          <c:idx val="2"/>
          <c:order val="2"/>
          <c:tx>
            <c:strRef>
              <c:f>'8 - Chart Data'!$A$23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Data'!$B$23:$E$23</c:f>
              <c:numCache>
                <c:formatCode>0.00</c:formatCode>
                <c:ptCount val="4"/>
              </c:numCache>
            </c:numRef>
          </c:val>
          <c:smooth val="1"/>
        </c:ser>
        <c:ser>
          <c:idx val="3"/>
          <c:order val="3"/>
          <c:tx>
            <c:strRef>
              <c:f>'8 - Chart Data'!$A$24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Data'!$B$24:$E$24</c:f>
              <c:numCache>
                <c:formatCode>0.00</c:formatCode>
                <c:ptCount val="4"/>
              </c:numCache>
            </c:numRef>
          </c:val>
          <c:smooth val="1"/>
        </c:ser>
        <c:ser>
          <c:idx val="4"/>
          <c:order val="4"/>
          <c:tx>
            <c:strRef>
              <c:f>'8 - Chart Data'!$A$25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rgbClr val="f4b183"/>
            </a:solidFill>
            <a:ln w="21960">
              <a:solidFill>
                <a:srgbClr val="f4b183"/>
              </a:solidFill>
              <a:round/>
            </a:ln>
          </c:spPr>
          <c:marker>
            <c:symbol val="circle"/>
            <c:size val="6"/>
            <c:spPr>
              <a:solidFill>
                <a:srgbClr val="f4b18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Data'!$B$25:$E$25</c:f>
              <c:numCache>
                <c:formatCode>0.00</c:formatCode>
                <c:ptCount val="4"/>
              </c:numCache>
            </c:numRef>
          </c:val>
          <c:smooth val="1"/>
        </c:ser>
        <c:ser>
          <c:idx val="5"/>
          <c:order val="5"/>
          <c:tx>
            <c:strRef>
              <c:f>'8 - Chart Data'!$A$26</c:f>
              <c:strCache>
                <c:ptCount val="1"/>
                <c:pt idx="0">
                  <c:v>M5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Data'!$B$26:$E$26</c:f>
              <c:numCache>
                <c:formatCode>0.00</c:formatCode>
                <c:ptCount val="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5677268"/>
        <c:axId val="47016533"/>
      </c:lineChart>
      <c:catAx>
        <c:axId val="35677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Exposure 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6533"/>
        <c:crosses val="autoZero"/>
        <c:auto val="1"/>
        <c:lblAlgn val="ctr"/>
        <c:lblOffset val="100"/>
        <c:noMultiLvlLbl val="0"/>
      </c:catAx>
      <c:valAx>
        <c:axId val="4701653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Mass loss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772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Mass Loss vs Temperature — NaOH 6M (M6–M11)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Data'!$A$27</c:f>
              <c:strCache>
                <c:ptCount val="1"/>
                <c:pt idx="0">
                  <c:v>M6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Data'!$B$27:$E$27</c:f>
              <c:numCache>
                <c:formatCode>0.00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'8 - Chart Data'!$A$28</c:f>
              <c:strCache>
                <c:ptCount val="1"/>
                <c:pt idx="0">
                  <c:v>M7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Data'!$B$28:$E$28</c:f>
              <c:numCache>
                <c:formatCode>0.00</c:formatCode>
                <c:ptCount val="4"/>
              </c:numCache>
            </c:numRef>
          </c:val>
          <c:smooth val="1"/>
        </c:ser>
        <c:ser>
          <c:idx val="2"/>
          <c:order val="2"/>
          <c:tx>
            <c:strRef>
              <c:f>'8 - Chart Data'!$A$29</c:f>
              <c:strCache>
                <c:ptCount val="1"/>
                <c:pt idx="0">
                  <c:v>M8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Data'!$B$29:$E$29</c:f>
              <c:numCache>
                <c:formatCode>0.00</c:formatCode>
                <c:ptCount val="4"/>
              </c:numCache>
            </c:numRef>
          </c:val>
          <c:smooth val="1"/>
        </c:ser>
        <c:ser>
          <c:idx val="3"/>
          <c:order val="3"/>
          <c:tx>
            <c:strRef>
              <c:f>'8 - Chart Data'!$A$30</c:f>
              <c:strCache>
                <c:ptCount val="1"/>
                <c:pt idx="0">
                  <c:v>M9</c:v>
                </c:pt>
              </c:strCache>
            </c:strRef>
          </c:tx>
          <c:spPr>
            <a:solidFill>
              <a:srgbClr val="c55a11"/>
            </a:solidFill>
            <a:ln w="219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Data'!$B$30:$E$30</c:f>
              <c:numCache>
                <c:formatCode>0.00</c:formatCode>
                <c:ptCount val="4"/>
              </c:numCache>
            </c:numRef>
          </c:val>
          <c:smooth val="1"/>
        </c:ser>
        <c:ser>
          <c:idx val="4"/>
          <c:order val="4"/>
          <c:tx>
            <c:strRef>
              <c:f>'8 - Chart Data'!$A$31</c:f>
              <c:strCache>
                <c:ptCount val="1"/>
                <c:pt idx="0">
                  <c:v>M10</c:v>
                </c:pt>
              </c:strCache>
            </c:strRef>
          </c:tx>
          <c:spPr>
            <a:solidFill>
              <a:srgbClr val="f4b183"/>
            </a:solidFill>
            <a:ln w="21960">
              <a:solidFill>
                <a:srgbClr val="f4b183"/>
              </a:solidFill>
              <a:round/>
            </a:ln>
          </c:spPr>
          <c:marker>
            <c:symbol val="circle"/>
            <c:size val="6"/>
            <c:spPr>
              <a:solidFill>
                <a:srgbClr val="f4b18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Data'!$B$31:$E$31</c:f>
              <c:numCache>
                <c:formatCode>0.00</c:formatCode>
                <c:ptCount val="4"/>
              </c:numCache>
            </c:numRef>
          </c:val>
          <c:smooth val="1"/>
        </c:ser>
        <c:ser>
          <c:idx val="5"/>
          <c:order val="5"/>
          <c:tx>
            <c:strRef>
              <c:f>'8 - Chart Data'!$A$32</c:f>
              <c:strCache>
                <c:ptCount val="1"/>
                <c:pt idx="0">
                  <c:v>M11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Data'!$B$20:$E$20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Data'!$B$32:$E$32</c:f>
              <c:numCache>
                <c:formatCode>0.00</c:formatCode>
                <c:ptCount val="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7399974"/>
        <c:axId val="37097793"/>
      </c:lineChart>
      <c:catAx>
        <c:axId val="67399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Exposure 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97793"/>
        <c:crosses val="autoZero"/>
        <c:auto val="1"/>
        <c:lblAlgn val="ctr"/>
        <c:lblOffset val="100"/>
        <c:noMultiLvlLbl val="0"/>
      </c:catAx>
      <c:valAx>
        <c:axId val="3709779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Mass loss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999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Strength (%) by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'8 - Chart Data'!B4</c:f>
              <c:strCache>
                <c:ptCount val="1"/>
                <c:pt idx="0">
                  <c:v>200°C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Data'!$A$5:$A$16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Data'!$B$5:$B$16</c:f>
              <c:numCache>
                <c:formatCode>0.00</c:formatCode>
                <c:ptCount val="12"/>
              </c:numCache>
            </c:numRef>
          </c:val>
        </c:ser>
        <c:ser>
          <c:idx val="1"/>
          <c:order val="1"/>
          <c:tx>
            <c:strRef>
              <c:f>'8 - Chart Data'!C4</c:f>
              <c:strCache>
                <c:ptCount val="1"/>
                <c:pt idx="0">
                  <c:v>400°C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Data'!$A$5:$A$16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Data'!$C$5:$C$16</c:f>
              <c:numCache>
                <c:formatCode>0.00</c:formatCode>
                <c:ptCount val="12"/>
              </c:numCache>
            </c:numRef>
          </c:val>
        </c:ser>
        <c:ser>
          <c:idx val="2"/>
          <c:order val="2"/>
          <c:tx>
            <c:strRef>
              <c:f>'8 - Chart Data'!D4</c:f>
              <c:strCache>
                <c:ptCount val="1"/>
                <c:pt idx="0">
                  <c:v>600°C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Data'!$A$5:$A$16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Data'!$D$5:$D$16</c:f>
              <c:numCache>
                <c:formatCode>0.00</c:formatCode>
                <c:ptCount val="12"/>
              </c:numCache>
            </c:numRef>
          </c:val>
        </c:ser>
        <c:ser>
          <c:idx val="3"/>
          <c:order val="3"/>
          <c:tx>
            <c:strRef>
              <c:f>'8 - Chart Data'!E4</c:f>
              <c:strCache>
                <c:ptCount val="1"/>
                <c:pt idx="0">
                  <c:v>800°C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Data'!$A$5:$A$16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Data'!$E$5:$E$16</c:f>
              <c:numCache>
                <c:formatCode>0.00</c:formatCode>
                <c:ptCount val="12"/>
              </c:numCache>
            </c:numRef>
          </c:val>
        </c:ser>
        <c:gapWidth val="60"/>
        <c:overlap val="0"/>
        <c:axId val="20114330"/>
        <c:axId val="22496696"/>
      </c:barChart>
      <c:catAx>
        <c:axId val="201143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Mix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96696"/>
        <c:crosses val="autoZero"/>
        <c:auto val="1"/>
        <c:lblAlgn val="ctr"/>
        <c:lblOffset val="100"/>
        <c:noMultiLvlLbl val="0"/>
      </c:catAx>
      <c:valAx>
        <c:axId val="22496696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143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Mass Loss (%) by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'8 - Chart Data'!B20</c:f>
              <c:strCache>
                <c:ptCount val="1"/>
                <c:pt idx="0">
                  <c:v>200°C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Data'!$A$21:$A$32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Data'!$B$21:$B$32</c:f>
              <c:numCache>
                <c:formatCode>0.00</c:formatCode>
                <c:ptCount val="12"/>
              </c:numCache>
            </c:numRef>
          </c:val>
        </c:ser>
        <c:ser>
          <c:idx val="1"/>
          <c:order val="1"/>
          <c:tx>
            <c:strRef>
              <c:f>'8 - Chart Data'!C20</c:f>
              <c:strCache>
                <c:ptCount val="1"/>
                <c:pt idx="0">
                  <c:v>400°C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Data'!$A$21:$A$32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Data'!$C$21:$C$32</c:f>
              <c:numCache>
                <c:formatCode>0.00</c:formatCode>
                <c:ptCount val="12"/>
              </c:numCache>
            </c:numRef>
          </c:val>
        </c:ser>
        <c:ser>
          <c:idx val="2"/>
          <c:order val="2"/>
          <c:tx>
            <c:strRef>
              <c:f>'8 - Chart Data'!D20</c:f>
              <c:strCache>
                <c:ptCount val="1"/>
                <c:pt idx="0">
                  <c:v>600°C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Data'!$A$21:$A$32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Data'!$D$21:$D$32</c:f>
              <c:numCache>
                <c:formatCode>0.00</c:formatCode>
                <c:ptCount val="12"/>
              </c:numCache>
            </c:numRef>
          </c:val>
        </c:ser>
        <c:ser>
          <c:idx val="3"/>
          <c:order val="3"/>
          <c:tx>
            <c:strRef>
              <c:f>'8 - Chart Data'!E20</c:f>
              <c:strCache>
                <c:ptCount val="1"/>
                <c:pt idx="0">
                  <c:v>800°C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Data'!$A$21:$A$32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Data'!$E$21:$E$32</c:f>
              <c:numCache>
                <c:formatCode>0.00</c:formatCode>
                <c:ptCount val="12"/>
              </c:numCache>
            </c:numRef>
          </c:val>
        </c:ser>
        <c:gapWidth val="60"/>
        <c:overlap val="0"/>
        <c:axId val="37643173"/>
        <c:axId val="98906252"/>
      </c:barChart>
      <c:catAx>
        <c:axId val="37643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Mix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06252"/>
        <c:crosses val="autoZero"/>
        <c:auto val="1"/>
        <c:lblAlgn val="ctr"/>
        <c:lblOffset val="100"/>
        <c:noMultiLvlLbl val="0"/>
      </c:catAx>
      <c:valAx>
        <c:axId val="9890625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Mass loss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431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Compressive Strength (MPa) by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'8 - Chart Data'!B36</c:f>
              <c:strCache>
                <c:ptCount val="1"/>
                <c:pt idx="0">
                  <c:v>200°C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Data'!$A$37:$A$48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Data'!$B$37:$B$48</c:f>
              <c:numCache>
                <c:formatCode>0.00</c:formatCode>
                <c:ptCount val="12"/>
              </c:numCache>
            </c:numRef>
          </c:val>
        </c:ser>
        <c:ser>
          <c:idx val="1"/>
          <c:order val="1"/>
          <c:tx>
            <c:strRef>
              <c:f>'8 - Chart Data'!C36</c:f>
              <c:strCache>
                <c:ptCount val="1"/>
                <c:pt idx="0">
                  <c:v>400°C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Data'!$A$37:$A$48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Data'!$C$37:$C$48</c:f>
              <c:numCache>
                <c:formatCode>0.00</c:formatCode>
                <c:ptCount val="12"/>
              </c:numCache>
            </c:numRef>
          </c:val>
        </c:ser>
        <c:ser>
          <c:idx val="2"/>
          <c:order val="2"/>
          <c:tx>
            <c:strRef>
              <c:f>'8 - Chart Data'!D36</c:f>
              <c:strCache>
                <c:ptCount val="1"/>
                <c:pt idx="0">
                  <c:v>600°C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Data'!$A$37:$A$48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Data'!$D$37:$D$48</c:f>
              <c:numCache>
                <c:formatCode>0.00</c:formatCode>
                <c:ptCount val="12"/>
              </c:numCache>
            </c:numRef>
          </c:val>
        </c:ser>
        <c:ser>
          <c:idx val="3"/>
          <c:order val="3"/>
          <c:tx>
            <c:strRef>
              <c:f>'8 - Chart Data'!E36</c:f>
              <c:strCache>
                <c:ptCount val="1"/>
                <c:pt idx="0">
                  <c:v>800°C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Data'!$A$37:$A$48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Data'!$E$37:$E$48</c:f>
              <c:numCache>
                <c:formatCode>0.00</c:formatCode>
                <c:ptCount val="12"/>
              </c:numCache>
            </c:numRef>
          </c:val>
        </c:ser>
        <c:gapWidth val="60"/>
        <c:overlap val="0"/>
        <c:axId val="64867316"/>
        <c:axId val="77152299"/>
      </c:barChart>
      <c:catAx>
        <c:axId val="64867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Mix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52299"/>
        <c:crosses val="autoZero"/>
        <c:auto val="1"/>
        <c:lblAlgn val="ctr"/>
        <c:lblOffset val="100"/>
        <c:noMultiLvlLbl val="0"/>
      </c:catAx>
      <c:valAx>
        <c:axId val="7715229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673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28-Day Strength (MPa) by Mix — Batch 1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'8 - Chart Data'!B52</c:f>
              <c:strCache>
                <c:ptCount val="1"/>
                <c:pt idx="0">
                  <c:v>28-day (MPa)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Data'!$A$53:$A$64</c:f>
              <c:strCache>
                <c:ptCount val="12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'8 - Chart Data'!$B$53:$B$64</c:f>
              <c:numCache>
                <c:formatCode>0.0</c:formatCode>
                <c:ptCount val="12"/>
              </c:numCache>
            </c:numRef>
          </c:val>
        </c:ser>
        <c:gapWidth val="60"/>
        <c:overlap val="0"/>
        <c:axId val="37486349"/>
        <c:axId val="6257449"/>
      </c:barChart>
      <c:catAx>
        <c:axId val="374863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Mix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7449"/>
        <c:crosses val="autoZero"/>
        <c:auto val="1"/>
        <c:lblAlgn val="ctr"/>
        <c:lblOffset val="100"/>
        <c:noMultiLvlLbl val="0"/>
      </c:catAx>
      <c:valAx>
        <c:axId val="625744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28-day strength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863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(4M, 6M) vs Key Mix M9 — Residual Strength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'8 - Chart Data'!$A$85</c:f>
              <c:strCache>
                <c:ptCount val="1"/>
                <c:pt idx="0">
                  <c:v>M0 Control 4M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Data'!$B$84:$E$84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Data'!$B$85:$E$85</c:f>
              <c:numCache>
                <c:formatCode>0.0</c:formatCode>
                <c:ptCount val="4"/>
              </c:numCache>
            </c:numRef>
          </c:val>
          <c:smooth val="1"/>
        </c:ser>
        <c:ser>
          <c:idx val="1"/>
          <c:order val="1"/>
          <c:tx>
            <c:strRef>
              <c:f>'8 - Chart Data'!$A$86</c:f>
              <c:strCache>
                <c:ptCount val="1"/>
                <c:pt idx="0">
                  <c:v>M6 Control 6M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Data'!$B$84:$E$84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Data'!$B$86:$E$86</c:f>
              <c:numCache>
                <c:formatCode>0.0</c:formatCode>
                <c:ptCount val="4"/>
              </c:numCache>
            </c:numRef>
          </c:val>
          <c:smooth val="1"/>
        </c:ser>
        <c:ser>
          <c:idx val="2"/>
          <c:order val="2"/>
          <c:tx>
            <c:strRef>
              <c:f>'8 - Chart Data'!$A$87</c:f>
              <c:strCache>
                <c:ptCount val="1"/>
                <c:pt idx="0">
                  <c:v>M9 Key mix (15% SCBA, 6M)</c:v>
                </c:pt>
              </c:strCache>
            </c:strRef>
          </c:tx>
          <c:spPr>
            <a:solidFill>
              <a:srgbClr val="9dc3e6"/>
            </a:solidFill>
            <a:ln w="21960">
              <a:solidFill>
                <a:srgbClr val="9dc3e6"/>
              </a:solidFill>
              <a:round/>
            </a:ln>
          </c:spPr>
          <c:marker>
            <c:symbol val="circle"/>
            <c:size val="6"/>
            <c:spPr>
              <a:solidFill>
                <a:srgbClr val="9dc3e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Data'!$B$84:$E$84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Data'!$B$87:$E$87</c:f>
              <c:numCache>
                <c:formatCode>0.0</c:formatCode>
                <c:ptCount val="4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7341509"/>
        <c:axId val="55690886"/>
      </c:lineChart>
      <c:catAx>
        <c:axId val="473415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Exposure 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90886"/>
        <c:crosses val="autoZero"/>
        <c:auto val="1"/>
        <c:lblAlgn val="ctr"/>
        <c:lblOffset val="100"/>
        <c:noMultiLvlLbl val="0"/>
      </c:catAx>
      <c:valAx>
        <c:axId val="55690886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415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Residual Strength: NaOH 4M vs 6M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'8 - Chart Data'!$A$92</c:f>
              <c:strCache>
                <c:ptCount val="1"/>
                <c:pt idx="0">
                  <c:v>4M — avg residual (%)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Data'!$B$91:$E$91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Data'!$B$92:$E$92</c:f>
              <c:numCache>
                <c:formatCode>0.0</c:formatCode>
                <c:ptCount val="4"/>
              </c:numCache>
            </c:numRef>
          </c:val>
        </c:ser>
        <c:ser>
          <c:idx val="1"/>
          <c:order val="1"/>
          <c:tx>
            <c:strRef>
              <c:f>'8 - Chart Data'!$A$93</c:f>
              <c:strCache>
                <c:ptCount val="1"/>
                <c:pt idx="0">
                  <c:v>6M — avg residual (%)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'8 - Chart Data'!$B$91:$E$91</c:f>
              <c:strCache>
                <c:ptCount val="4"/>
                <c:pt idx="0">
                  <c:v>200°C</c:v>
                </c:pt>
                <c:pt idx="1">
                  <c:v>400°C</c:v>
                </c:pt>
                <c:pt idx="2">
                  <c:v>600°C</c:v>
                </c:pt>
                <c:pt idx="3">
                  <c:v>800°C</c:v>
                </c:pt>
              </c:strCache>
            </c:strRef>
          </c:cat>
          <c:val>
            <c:numRef>
              <c:f>'8 - Chart Data'!$B$93:$E$93</c:f>
              <c:numCache>
                <c:formatCode>0.0</c:formatCode>
                <c:ptCount val="4"/>
              </c:numCache>
            </c:numRef>
          </c:val>
        </c:ser>
        <c:gapWidth val="60"/>
        <c:overlap val="0"/>
        <c:axId val="46831284"/>
        <c:axId val="18149757"/>
      </c:barChart>
      <c:catAx>
        <c:axId val="46831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Exposure temperature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9757"/>
        <c:crosses val="autoZero"/>
        <c:auto val="1"/>
        <c:lblAlgn val="ctr"/>
        <c:lblOffset val="100"/>
        <c:noMultiLvlLbl val="0"/>
      </c:catAx>
      <c:valAx>
        <c:axId val="18149757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strength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312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9</xdr:col>
      <xdr:colOff>401760</xdr:colOff>
      <xdr:row>21</xdr:row>
      <xdr:rowOff>73080</xdr:rowOff>
    </xdr:to>
    <xdr:graphicFrame>
      <xdr:nvGraphicFramePr>
        <xdr:cNvPr id="0" name="Chart 1"/>
        <xdr:cNvGraphicFramePr/>
      </xdr:nvGraphicFramePr>
      <xdr:xfrm>
        <a:off x="0" y="119052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20</xdr:col>
      <xdr:colOff>401760</xdr:colOff>
      <xdr:row>21</xdr:row>
      <xdr:rowOff>73080</xdr:rowOff>
    </xdr:to>
    <xdr:graphicFrame>
      <xdr:nvGraphicFramePr>
        <xdr:cNvPr id="1" name="Chart 2"/>
        <xdr:cNvGraphicFramePr/>
      </xdr:nvGraphicFramePr>
      <xdr:xfrm>
        <a:off x="7208640" y="119052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9</xdr:col>
      <xdr:colOff>401760</xdr:colOff>
      <xdr:row>42</xdr:row>
      <xdr:rowOff>73080</xdr:rowOff>
    </xdr:to>
    <xdr:graphicFrame>
      <xdr:nvGraphicFramePr>
        <xdr:cNvPr id="2" name="Chart 3"/>
        <xdr:cNvGraphicFramePr/>
      </xdr:nvGraphicFramePr>
      <xdr:xfrm>
        <a:off x="0" y="526716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25</xdr:row>
      <xdr:rowOff>0</xdr:rowOff>
    </xdr:from>
    <xdr:to>
      <xdr:col>20</xdr:col>
      <xdr:colOff>401760</xdr:colOff>
      <xdr:row>42</xdr:row>
      <xdr:rowOff>73080</xdr:rowOff>
    </xdr:to>
    <xdr:graphicFrame>
      <xdr:nvGraphicFramePr>
        <xdr:cNvPr id="3" name="Chart 4"/>
        <xdr:cNvGraphicFramePr/>
      </xdr:nvGraphicFramePr>
      <xdr:xfrm>
        <a:off x="7208640" y="526716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9</xdr:col>
      <xdr:colOff>401760</xdr:colOff>
      <xdr:row>63</xdr:row>
      <xdr:rowOff>73440</xdr:rowOff>
    </xdr:to>
    <xdr:graphicFrame>
      <xdr:nvGraphicFramePr>
        <xdr:cNvPr id="4" name="Chart 5"/>
        <xdr:cNvGraphicFramePr/>
      </xdr:nvGraphicFramePr>
      <xdr:xfrm>
        <a:off x="0" y="934416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46</xdr:row>
      <xdr:rowOff>0</xdr:rowOff>
    </xdr:from>
    <xdr:to>
      <xdr:col>20</xdr:col>
      <xdr:colOff>401760</xdr:colOff>
      <xdr:row>63</xdr:row>
      <xdr:rowOff>73440</xdr:rowOff>
    </xdr:to>
    <xdr:graphicFrame>
      <xdr:nvGraphicFramePr>
        <xdr:cNvPr id="5" name="Chart 6"/>
        <xdr:cNvGraphicFramePr/>
      </xdr:nvGraphicFramePr>
      <xdr:xfrm>
        <a:off x="7208640" y="934416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67</xdr:row>
      <xdr:rowOff>0</xdr:rowOff>
    </xdr:from>
    <xdr:to>
      <xdr:col>9</xdr:col>
      <xdr:colOff>401760</xdr:colOff>
      <xdr:row>84</xdr:row>
      <xdr:rowOff>73080</xdr:rowOff>
    </xdr:to>
    <xdr:graphicFrame>
      <xdr:nvGraphicFramePr>
        <xdr:cNvPr id="6" name="Chart 7"/>
        <xdr:cNvGraphicFramePr/>
      </xdr:nvGraphicFramePr>
      <xdr:xfrm>
        <a:off x="0" y="1342080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67</xdr:row>
      <xdr:rowOff>0</xdr:rowOff>
    </xdr:from>
    <xdr:to>
      <xdr:col>20</xdr:col>
      <xdr:colOff>401760</xdr:colOff>
      <xdr:row>84</xdr:row>
      <xdr:rowOff>73080</xdr:rowOff>
    </xdr:to>
    <xdr:graphicFrame>
      <xdr:nvGraphicFramePr>
        <xdr:cNvPr id="7" name="Chart 8"/>
        <xdr:cNvGraphicFramePr/>
      </xdr:nvGraphicFramePr>
      <xdr:xfrm>
        <a:off x="7208640" y="1342080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401760</xdr:colOff>
      <xdr:row>104</xdr:row>
      <xdr:rowOff>73080</xdr:rowOff>
    </xdr:to>
    <xdr:graphicFrame>
      <xdr:nvGraphicFramePr>
        <xdr:cNvPr id="8" name="Chart 9"/>
        <xdr:cNvGraphicFramePr/>
      </xdr:nvGraphicFramePr>
      <xdr:xfrm>
        <a:off x="0" y="1723068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87</xdr:row>
      <xdr:rowOff>0</xdr:rowOff>
    </xdr:from>
    <xdr:to>
      <xdr:col>20</xdr:col>
      <xdr:colOff>401760</xdr:colOff>
      <xdr:row>104</xdr:row>
      <xdr:rowOff>73080</xdr:rowOff>
    </xdr:to>
    <xdr:graphicFrame>
      <xdr:nvGraphicFramePr>
        <xdr:cNvPr id="9" name="Chart 10"/>
        <xdr:cNvGraphicFramePr/>
      </xdr:nvGraphicFramePr>
      <xdr:xfrm>
        <a:off x="7208640" y="1723068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108</xdr:row>
      <xdr:rowOff>0</xdr:rowOff>
    </xdr:from>
    <xdr:to>
      <xdr:col>9</xdr:col>
      <xdr:colOff>401760</xdr:colOff>
      <xdr:row>125</xdr:row>
      <xdr:rowOff>73080</xdr:rowOff>
    </xdr:to>
    <xdr:graphicFrame>
      <xdr:nvGraphicFramePr>
        <xdr:cNvPr id="10" name="Chart 11"/>
        <xdr:cNvGraphicFramePr/>
      </xdr:nvGraphicFramePr>
      <xdr:xfrm>
        <a:off x="0" y="2130732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11</xdr:col>
      <xdr:colOff>0</xdr:colOff>
      <xdr:row>108</xdr:row>
      <xdr:rowOff>0</xdr:rowOff>
    </xdr:from>
    <xdr:to>
      <xdr:col>20</xdr:col>
      <xdr:colOff>401760</xdr:colOff>
      <xdr:row>125</xdr:row>
      <xdr:rowOff>73080</xdr:rowOff>
    </xdr:to>
    <xdr:graphicFrame>
      <xdr:nvGraphicFramePr>
        <xdr:cNvPr id="11" name="Chart 12"/>
        <xdr:cNvGraphicFramePr/>
      </xdr:nvGraphicFramePr>
      <xdr:xfrm>
        <a:off x="7208640" y="2130732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3"/>
    </row>
    <row r="3" customFormat="false" ht="39.75" hidden="false" customHeight="true" outlineLevel="0" collapsed="false">
      <c r="A3" s="4" t="s">
        <v>4</v>
      </c>
      <c r="B3" s="5" t="s">
        <v>5</v>
      </c>
      <c r="C3" s="5" t="s">
        <v>6</v>
      </c>
      <c r="D3" s="5"/>
    </row>
    <row r="4" customFormat="false" ht="39.75" hidden="false" customHeight="true" outlineLevel="0" collapsed="false">
      <c r="A4" s="4" t="s">
        <v>7</v>
      </c>
      <c r="B4" s="5" t="s">
        <v>8</v>
      </c>
      <c r="C4" s="5" t="s">
        <v>9</v>
      </c>
      <c r="D4" s="5"/>
    </row>
    <row r="5" customFormat="false" ht="39.75" hidden="false" customHeight="true" outlineLevel="0" collapsed="false">
      <c r="A5" s="4" t="s">
        <v>10</v>
      </c>
      <c r="B5" s="5" t="s">
        <v>11</v>
      </c>
      <c r="C5" s="5" t="s">
        <v>12</v>
      </c>
      <c r="D5" s="5"/>
    </row>
    <row r="6" customFormat="false" ht="39.75" hidden="false" customHeight="true" outlineLevel="0" collapsed="false">
      <c r="A6" s="4" t="s">
        <v>13</v>
      </c>
      <c r="B6" s="5" t="s">
        <v>14</v>
      </c>
      <c r="C6" s="5" t="s">
        <v>15</v>
      </c>
      <c r="D6" s="5"/>
    </row>
    <row r="7" customFormat="false" ht="39.75" hidden="false" customHeight="true" outlineLevel="0" collapsed="false">
      <c r="A7" s="4" t="s">
        <v>16</v>
      </c>
      <c r="B7" s="5" t="s">
        <v>17</v>
      </c>
      <c r="C7" s="5" t="s">
        <v>18</v>
      </c>
      <c r="D7" s="5"/>
    </row>
    <row r="8" customFormat="false" ht="39.75" hidden="false" customHeight="true" outlineLevel="0" collapsed="false">
      <c r="A8" s="4" t="s">
        <v>19</v>
      </c>
      <c r="B8" s="5" t="s">
        <v>20</v>
      </c>
      <c r="C8" s="5" t="s">
        <v>21</v>
      </c>
      <c r="D8" s="5"/>
    </row>
    <row r="9" customFormat="false" ht="39.75" hidden="false" customHeight="true" outlineLevel="0" collapsed="false">
      <c r="A9" s="4" t="s">
        <v>22</v>
      </c>
      <c r="B9" s="5" t="s">
        <v>23</v>
      </c>
      <c r="C9" s="5" t="s">
        <v>24</v>
      </c>
      <c r="D9" s="5"/>
    </row>
    <row r="10" customFormat="false" ht="39.75" hidden="false" customHeight="true" outlineLevel="0" collapsed="false">
      <c r="A10" s="4" t="s">
        <v>25</v>
      </c>
      <c r="B10" s="5" t="s">
        <v>26</v>
      </c>
      <c r="C10" s="5" t="s">
        <v>27</v>
      </c>
      <c r="D10" s="5"/>
    </row>
    <row r="11" customFormat="false" ht="39.75" hidden="false" customHeight="true" outlineLevel="0" collapsed="false">
      <c r="A11" s="4" t="s">
        <v>28</v>
      </c>
      <c r="B11" s="5" t="s">
        <v>29</v>
      </c>
      <c r="C11" s="5" t="s">
        <v>30</v>
      </c>
      <c r="D11" s="5"/>
    </row>
    <row r="13" customFormat="false" ht="15" hidden="false" customHeight="true" outlineLevel="0" collapsed="false">
      <c r="A13" s="6" t="s">
        <v>31</v>
      </c>
      <c r="B13" s="6"/>
      <c r="C13" s="6"/>
      <c r="D13" s="6"/>
    </row>
    <row r="14" customFormat="false" ht="15" hidden="false" customHeight="true" outlineLevel="0" collapsed="false">
      <c r="A14" s="7" t="s">
        <v>32</v>
      </c>
      <c r="B14" s="7" t="s">
        <v>33</v>
      </c>
      <c r="C14" s="7"/>
      <c r="D14" s="7"/>
    </row>
    <row r="15" customFormat="false" ht="15" hidden="false" customHeight="true" outlineLevel="0" collapsed="false">
      <c r="A15" s="8" t="s">
        <v>34</v>
      </c>
      <c r="B15" s="8" t="s">
        <v>35</v>
      </c>
      <c r="C15" s="8"/>
      <c r="D15" s="8"/>
    </row>
    <row r="16" customFormat="false" ht="15" hidden="false" customHeight="true" outlineLevel="0" collapsed="false">
      <c r="A16" s="9" t="s">
        <v>36</v>
      </c>
      <c r="B16" s="9" t="s">
        <v>37</v>
      </c>
      <c r="C16" s="9"/>
      <c r="D16" s="9"/>
    </row>
    <row r="17" customFormat="false" ht="15" hidden="false" customHeight="true" outlineLevel="0" collapsed="false">
      <c r="A17" s="10" t="s">
        <v>38</v>
      </c>
      <c r="B17" s="10" t="s">
        <v>39</v>
      </c>
      <c r="C17" s="10"/>
      <c r="D17" s="10"/>
    </row>
    <row r="19" customFormat="false" ht="15" hidden="false" customHeight="true" outlineLevel="0" collapsed="false">
      <c r="A19" s="6" t="s">
        <v>40</v>
      </c>
      <c r="B19" s="6"/>
      <c r="C19" s="6"/>
      <c r="D19" s="6"/>
    </row>
    <row r="20" customFormat="false" ht="15" hidden="false" customHeight="false" outlineLevel="0" collapsed="false">
      <c r="A20" s="2" t="s">
        <v>41</v>
      </c>
      <c r="B20" s="2" t="s">
        <v>42</v>
      </c>
      <c r="C20" s="2" t="s">
        <v>43</v>
      </c>
      <c r="D20" s="3"/>
    </row>
    <row r="21" customFormat="false" ht="19.5" hidden="false" customHeight="true" outlineLevel="0" collapsed="false">
      <c r="A21" s="11" t="s">
        <v>44</v>
      </c>
      <c r="B21" s="12" t="n">
        <v>2452</v>
      </c>
      <c r="C21" s="13" t="s">
        <v>45</v>
      </c>
      <c r="D21" s="13"/>
    </row>
    <row r="22" customFormat="false" ht="19.5" hidden="false" customHeight="true" outlineLevel="0" collapsed="false">
      <c r="A22" s="11" t="s">
        <v>46</v>
      </c>
      <c r="B22" s="12" t="n">
        <v>2270</v>
      </c>
      <c r="C22" s="13" t="s">
        <v>47</v>
      </c>
      <c r="D22" s="13"/>
    </row>
    <row r="23" customFormat="false" ht="19.5" hidden="false" customHeight="true" outlineLevel="0" collapsed="false">
      <c r="A23" s="11" t="s">
        <v>48</v>
      </c>
      <c r="B23" s="14" t="n">
        <v>305</v>
      </c>
      <c r="C23" s="13" t="s">
        <v>49</v>
      </c>
      <c r="D23" s="13"/>
    </row>
    <row r="24" customFormat="false" ht="19.5" hidden="false" customHeight="true" outlineLevel="0" collapsed="false">
      <c r="A24" s="11" t="s">
        <v>50</v>
      </c>
      <c r="B24" s="14" t="n">
        <v>38.6</v>
      </c>
      <c r="C24" s="13" t="s">
        <v>51</v>
      </c>
      <c r="D24" s="13"/>
    </row>
    <row r="25" customFormat="false" ht="19.5" hidden="false" customHeight="true" outlineLevel="0" collapsed="false">
      <c r="A25" s="11" t="s">
        <v>52</v>
      </c>
      <c r="B25" s="15" t="n">
        <f aca="false">(B21-B22)/B21*100</f>
        <v>7.42251223491028</v>
      </c>
      <c r="C25" s="13" t="s">
        <v>53</v>
      </c>
      <c r="D25" s="13"/>
    </row>
    <row r="26" customFormat="false" ht="19.5" hidden="false" customHeight="true" outlineLevel="0" collapsed="false">
      <c r="A26" s="11" t="s">
        <v>54</v>
      </c>
      <c r="B26" s="16" t="n">
        <f aca="false">B23*1000</f>
        <v>305000</v>
      </c>
      <c r="C26" s="13" t="s">
        <v>55</v>
      </c>
      <c r="D26" s="13"/>
    </row>
    <row r="27" customFormat="false" ht="19.5" hidden="false" customHeight="true" outlineLevel="0" collapsed="false">
      <c r="A27" s="11" t="s">
        <v>56</v>
      </c>
      <c r="B27" s="15" t="n">
        <f aca="false">B26/10000</f>
        <v>30.5</v>
      </c>
      <c r="C27" s="13" t="s">
        <v>57</v>
      </c>
      <c r="D27" s="13"/>
    </row>
    <row r="28" customFormat="false" ht="19.5" hidden="false" customHeight="true" outlineLevel="0" collapsed="false">
      <c r="A28" s="11" t="s">
        <v>58</v>
      </c>
      <c r="B28" s="17" t="n">
        <f aca="false">B27/B24*100</f>
        <v>79.0155440414508</v>
      </c>
      <c r="C28" s="13" t="s">
        <v>59</v>
      </c>
      <c r="D28" s="13"/>
    </row>
  </sheetData>
  <mergeCells count="24">
    <mergeCell ref="A1:D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A13:D13"/>
    <mergeCell ref="B14:D14"/>
    <mergeCell ref="B15:D15"/>
    <mergeCell ref="B16:D16"/>
    <mergeCell ref="B17:D17"/>
    <mergeCell ref="A19:D19"/>
    <mergeCell ref="C21:D21"/>
    <mergeCell ref="C22:D22"/>
    <mergeCell ref="C23:D23"/>
    <mergeCell ref="C24:D24"/>
    <mergeCell ref="C25:D25"/>
    <mergeCell ref="C26:D26"/>
    <mergeCell ref="C27:D27"/>
    <mergeCell ref="C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8" t="s">
        <v>60</v>
      </c>
      <c r="B1" s="18"/>
      <c r="C1" s="18"/>
      <c r="D1" s="18"/>
      <c r="E1" s="18"/>
      <c r="F1" s="18"/>
      <c r="G1" s="18"/>
      <c r="H1" s="18"/>
    </row>
    <row r="2" customFormat="false" ht="30" hidden="false" customHeight="true" outlineLevel="0" collapsed="false">
      <c r="A2" s="19" t="s">
        <v>61</v>
      </c>
      <c r="B2" s="19"/>
      <c r="C2" s="19"/>
      <c r="D2" s="19"/>
      <c r="E2" s="19"/>
      <c r="F2" s="19"/>
      <c r="G2" s="19"/>
      <c r="H2" s="19"/>
    </row>
    <row r="3" customFormat="false" ht="42" hidden="false" customHeight="true" outlineLevel="0" collapsed="false">
      <c r="A3" s="20" t="s">
        <v>62</v>
      </c>
      <c r="B3" s="20" t="s">
        <v>63</v>
      </c>
      <c r="C3" s="20" t="s">
        <v>64</v>
      </c>
      <c r="D3" s="20" t="s">
        <v>65</v>
      </c>
      <c r="E3" s="20" t="s">
        <v>66</v>
      </c>
      <c r="F3" s="20" t="s">
        <v>67</v>
      </c>
      <c r="G3" s="20" t="s">
        <v>68</v>
      </c>
      <c r="H3" s="20" t="s">
        <v>69</v>
      </c>
    </row>
    <row r="4" customFormat="false" ht="15" hidden="false" customHeight="false" outlineLevel="0" collapsed="false">
      <c r="A4" s="21" t="s">
        <v>70</v>
      </c>
      <c r="B4" s="22" t="n">
        <v>0</v>
      </c>
      <c r="C4" s="22" t="s">
        <v>71</v>
      </c>
      <c r="D4" s="17" t="n">
        <f aca="false">(100-B4)*0.7</f>
        <v>70</v>
      </c>
      <c r="E4" s="17" t="n">
        <f aca="false">(100-B4)*0.3</f>
        <v>30</v>
      </c>
      <c r="F4" s="22" t="s">
        <v>72</v>
      </c>
      <c r="G4" s="13" t="s">
        <v>73</v>
      </c>
      <c r="H4" s="14"/>
    </row>
    <row r="5" customFormat="false" ht="15" hidden="false" customHeight="false" outlineLevel="0" collapsed="false">
      <c r="A5" s="21" t="s">
        <v>74</v>
      </c>
      <c r="B5" s="22" t="n">
        <v>5</v>
      </c>
      <c r="C5" s="22" t="s">
        <v>71</v>
      </c>
      <c r="D5" s="17" t="n">
        <f aca="false">(100-B5)*0.7</f>
        <v>66.5</v>
      </c>
      <c r="E5" s="17" t="n">
        <f aca="false">(100-B5)*0.3</f>
        <v>28.5</v>
      </c>
      <c r="F5" s="22" t="s">
        <v>75</v>
      </c>
      <c r="G5" s="13"/>
      <c r="H5" s="14"/>
    </row>
    <row r="6" customFormat="false" ht="15" hidden="false" customHeight="false" outlineLevel="0" collapsed="false">
      <c r="A6" s="21" t="s">
        <v>76</v>
      </c>
      <c r="B6" s="22" t="n">
        <v>10</v>
      </c>
      <c r="C6" s="22" t="s">
        <v>71</v>
      </c>
      <c r="D6" s="17" t="n">
        <f aca="false">(100-B6)*0.7</f>
        <v>63</v>
      </c>
      <c r="E6" s="17" t="n">
        <f aca="false">(100-B6)*0.3</f>
        <v>27</v>
      </c>
      <c r="F6" s="22" t="s">
        <v>75</v>
      </c>
      <c r="G6" s="13"/>
      <c r="H6" s="14"/>
    </row>
    <row r="7" customFormat="false" ht="15" hidden="false" customHeight="false" outlineLevel="0" collapsed="false">
      <c r="A7" s="21" t="s">
        <v>77</v>
      </c>
      <c r="B7" s="22" t="n">
        <v>15</v>
      </c>
      <c r="C7" s="22" t="s">
        <v>71</v>
      </c>
      <c r="D7" s="17" t="n">
        <f aca="false">(100-B7)*0.7</f>
        <v>59.5</v>
      </c>
      <c r="E7" s="17" t="n">
        <f aca="false">(100-B7)*0.3</f>
        <v>25.5</v>
      </c>
      <c r="F7" s="22" t="s">
        <v>75</v>
      </c>
      <c r="G7" s="13"/>
      <c r="H7" s="14"/>
    </row>
    <row r="8" customFormat="false" ht="15" hidden="false" customHeight="false" outlineLevel="0" collapsed="false">
      <c r="A8" s="21" t="s">
        <v>78</v>
      </c>
      <c r="B8" s="22" t="n">
        <v>20</v>
      </c>
      <c r="C8" s="22" t="s">
        <v>71</v>
      </c>
      <c r="D8" s="17" t="n">
        <f aca="false">(100-B8)*0.7</f>
        <v>56</v>
      </c>
      <c r="E8" s="17" t="n">
        <f aca="false">(100-B8)*0.3</f>
        <v>24</v>
      </c>
      <c r="F8" s="22" t="s">
        <v>75</v>
      </c>
      <c r="G8" s="13"/>
      <c r="H8" s="14"/>
    </row>
    <row r="9" customFormat="false" ht="15" hidden="false" customHeight="false" outlineLevel="0" collapsed="false">
      <c r="A9" s="21" t="s">
        <v>79</v>
      </c>
      <c r="B9" s="22" t="n">
        <v>25</v>
      </c>
      <c r="C9" s="22" t="s">
        <v>71</v>
      </c>
      <c r="D9" s="17" t="n">
        <f aca="false">(100-B9)*0.7</f>
        <v>52.5</v>
      </c>
      <c r="E9" s="17" t="n">
        <f aca="false">(100-B9)*0.3</f>
        <v>22.5</v>
      </c>
      <c r="F9" s="22" t="s">
        <v>75</v>
      </c>
      <c r="G9" s="13" t="s">
        <v>80</v>
      </c>
      <c r="H9" s="14"/>
    </row>
    <row r="10" customFormat="false" ht="15" hidden="false" customHeight="false" outlineLevel="0" collapsed="false">
      <c r="A10" s="21" t="s">
        <v>81</v>
      </c>
      <c r="B10" s="22" t="n">
        <v>0</v>
      </c>
      <c r="C10" s="22" t="s">
        <v>82</v>
      </c>
      <c r="D10" s="17" t="n">
        <f aca="false">(100-B10)*0.7</f>
        <v>70</v>
      </c>
      <c r="E10" s="17" t="n">
        <f aca="false">(100-B10)*0.3</f>
        <v>30</v>
      </c>
      <c r="F10" s="22" t="s">
        <v>72</v>
      </c>
      <c r="G10" s="13" t="s">
        <v>73</v>
      </c>
      <c r="H10" s="14"/>
    </row>
    <row r="11" customFormat="false" ht="15" hidden="false" customHeight="false" outlineLevel="0" collapsed="false">
      <c r="A11" s="21" t="s">
        <v>83</v>
      </c>
      <c r="B11" s="22" t="n">
        <v>5</v>
      </c>
      <c r="C11" s="22" t="s">
        <v>82</v>
      </c>
      <c r="D11" s="17" t="n">
        <f aca="false">(100-B11)*0.7</f>
        <v>66.5</v>
      </c>
      <c r="E11" s="17" t="n">
        <f aca="false">(100-B11)*0.3</f>
        <v>28.5</v>
      </c>
      <c r="F11" s="22" t="s">
        <v>84</v>
      </c>
      <c r="G11" s="13"/>
      <c r="H11" s="14"/>
    </row>
    <row r="12" customFormat="false" ht="15" hidden="false" customHeight="false" outlineLevel="0" collapsed="false">
      <c r="A12" s="21" t="s">
        <v>85</v>
      </c>
      <c r="B12" s="22" t="n">
        <v>10</v>
      </c>
      <c r="C12" s="22" t="s">
        <v>82</v>
      </c>
      <c r="D12" s="17" t="n">
        <f aca="false">(100-B12)*0.7</f>
        <v>63</v>
      </c>
      <c r="E12" s="17" t="n">
        <f aca="false">(100-B12)*0.3</f>
        <v>27</v>
      </c>
      <c r="F12" s="22" t="s">
        <v>84</v>
      </c>
      <c r="G12" s="13"/>
      <c r="H12" s="14"/>
    </row>
    <row r="13" customFormat="false" ht="15" hidden="false" customHeight="false" outlineLevel="0" collapsed="false">
      <c r="A13" s="23" t="s">
        <v>86</v>
      </c>
      <c r="B13" s="24" t="n">
        <v>15</v>
      </c>
      <c r="C13" s="24" t="s">
        <v>82</v>
      </c>
      <c r="D13" s="17" t="n">
        <f aca="false">(100-B13)*0.7</f>
        <v>59.5</v>
      </c>
      <c r="E13" s="17" t="n">
        <f aca="false">(100-B13)*0.3</f>
        <v>25.5</v>
      </c>
      <c r="F13" s="24" t="s">
        <v>84</v>
      </c>
      <c r="G13" s="10" t="s">
        <v>87</v>
      </c>
      <c r="H13" s="14"/>
    </row>
    <row r="14" customFormat="false" ht="15" hidden="false" customHeight="false" outlineLevel="0" collapsed="false">
      <c r="A14" s="21" t="s">
        <v>88</v>
      </c>
      <c r="B14" s="22" t="n">
        <v>20</v>
      </c>
      <c r="C14" s="22" t="s">
        <v>82</v>
      </c>
      <c r="D14" s="17" t="n">
        <f aca="false">(100-B14)*0.7</f>
        <v>56</v>
      </c>
      <c r="E14" s="17" t="n">
        <f aca="false">(100-B14)*0.3</f>
        <v>24</v>
      </c>
      <c r="F14" s="22" t="s">
        <v>84</v>
      </c>
      <c r="G14" s="13"/>
      <c r="H14" s="14"/>
    </row>
    <row r="15" customFormat="false" ht="15" hidden="false" customHeight="false" outlineLevel="0" collapsed="false">
      <c r="A15" s="21" t="s">
        <v>89</v>
      </c>
      <c r="B15" s="22" t="n">
        <v>25</v>
      </c>
      <c r="C15" s="22" t="s">
        <v>82</v>
      </c>
      <c r="D15" s="17" t="n">
        <f aca="false">(100-B15)*0.7</f>
        <v>52.5</v>
      </c>
      <c r="E15" s="17" t="n">
        <f aca="false">(100-B15)*0.3</f>
        <v>22.5</v>
      </c>
      <c r="F15" s="22" t="s">
        <v>84</v>
      </c>
      <c r="G15" s="13" t="s">
        <v>80</v>
      </c>
      <c r="H15" s="14"/>
    </row>
    <row r="17" customFormat="false" ht="30" hidden="false" customHeight="true" outlineLevel="0" collapsed="false">
      <c r="A17" s="25" t="s">
        <v>90</v>
      </c>
      <c r="B17" s="25"/>
      <c r="C17" s="25"/>
      <c r="D17" s="25"/>
      <c r="E17" s="25"/>
      <c r="F17" s="25"/>
      <c r="G17" s="25"/>
      <c r="H17" s="25"/>
    </row>
  </sheetData>
  <mergeCells count="3">
    <mergeCell ref="A1:H1"/>
    <mergeCell ref="A2:H2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20"/>
  </cols>
  <sheetData>
    <row r="1" customFormat="false" ht="27.75" hidden="false" customHeight="true" outlineLevel="0" collapsed="false">
      <c r="A1" s="18" t="s">
        <v>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21.75" hidden="false" customHeight="true" outlineLevel="0" collapsed="false">
      <c r="A2" s="19" t="s">
        <v>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customFormat="false" ht="15" hidden="false" customHeight="true" outlineLevel="0" collapsed="false">
      <c r="A3" s="20" t="s">
        <v>93</v>
      </c>
      <c r="B3" s="20"/>
      <c r="C3" s="20"/>
      <c r="D3" s="20" t="s">
        <v>94</v>
      </c>
      <c r="E3" s="20"/>
      <c r="F3" s="20" t="s">
        <v>95</v>
      </c>
      <c r="G3" s="20"/>
      <c r="H3" s="20"/>
      <c r="I3" s="20"/>
      <c r="J3" s="20" t="s">
        <v>96</v>
      </c>
      <c r="K3" s="20"/>
      <c r="L3" s="20"/>
      <c r="M3" s="20" t="s">
        <v>97</v>
      </c>
      <c r="N3" s="20"/>
      <c r="O3" s="20"/>
      <c r="P3" s="20"/>
    </row>
    <row r="4" customFormat="false" ht="42" hidden="false" customHeight="true" outlineLevel="0" collapsed="false">
      <c r="A4" s="26" t="s">
        <v>62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102</v>
      </c>
      <c r="G4" s="26" t="s">
        <v>103</v>
      </c>
      <c r="H4" s="26" t="s">
        <v>104</v>
      </c>
      <c r="I4" s="26" t="s">
        <v>105</v>
      </c>
      <c r="J4" s="26" t="s">
        <v>106</v>
      </c>
      <c r="K4" s="26" t="s">
        <v>107</v>
      </c>
      <c r="L4" s="26" t="s">
        <v>108</v>
      </c>
      <c r="M4" s="26" t="s">
        <v>109</v>
      </c>
      <c r="N4" s="26" t="s">
        <v>110</v>
      </c>
      <c r="O4" s="26" t="s">
        <v>111</v>
      </c>
      <c r="P4" s="26" t="s">
        <v>112</v>
      </c>
    </row>
    <row r="5" customFormat="false" ht="15.75" hidden="false" customHeight="true" outlineLevel="0" collapsed="false">
      <c r="A5" s="21" t="s">
        <v>70</v>
      </c>
      <c r="B5" s="22" t="n">
        <v>200</v>
      </c>
      <c r="C5" s="22" t="n">
        <v>1</v>
      </c>
      <c r="D5" s="14"/>
      <c r="E5" s="7"/>
      <c r="F5" s="14"/>
      <c r="G5" s="7"/>
      <c r="H5" s="27"/>
      <c r="I5" s="27"/>
      <c r="J5" s="14"/>
      <c r="K5" s="16" t="str">
        <f aca="false">IF(J5="","",J5*1000)</f>
        <v/>
      </c>
      <c r="L5" s="17" t="str">
        <f aca="false">IF(INDEX('1 - Mix Reference'!$H$4:$H$15,MATCH(A5,'1 - Mix Reference'!$A$4:$A$15,0))="","",INDEX('1 - Mix Reference'!$H$4:$H$15,MATCH(A5,'1 - Mix Reference'!$A$4:$A$15,0)))</f>
        <v/>
      </c>
      <c r="M5" s="15" t="str">
        <f aca="false">IF(OR(D5="",F5=""),"",((D5-F5)/D5)*100)</f>
        <v/>
      </c>
      <c r="N5" s="15" t="str">
        <f aca="false">IF(K5="","",K5/10000)</f>
        <v/>
      </c>
      <c r="O5" s="17" t="str">
        <f aca="false">IF(OR(N5="",L5=""),"",(N5/L5)*100)</f>
        <v/>
      </c>
      <c r="P5" s="7"/>
    </row>
    <row r="6" customFormat="false" ht="15.75" hidden="false" customHeight="true" outlineLevel="0" collapsed="false">
      <c r="A6" s="21" t="s">
        <v>70</v>
      </c>
      <c r="B6" s="22" t="n">
        <v>200</v>
      </c>
      <c r="C6" s="22" t="n">
        <v>2</v>
      </c>
      <c r="D6" s="14"/>
      <c r="E6" s="7"/>
      <c r="F6" s="14"/>
      <c r="G6" s="7"/>
      <c r="H6" s="27"/>
      <c r="I6" s="27"/>
      <c r="J6" s="14"/>
      <c r="K6" s="16" t="str">
        <f aca="false">IF(J6="","",J6*1000)</f>
        <v/>
      </c>
      <c r="L6" s="17" t="str">
        <f aca="false">IF(INDEX('1 - Mix Reference'!$H$4:$H$15,MATCH(A6,'1 - Mix Reference'!$A$4:$A$15,0))="","",INDEX('1 - Mix Reference'!$H$4:$H$15,MATCH(A6,'1 - Mix Reference'!$A$4:$A$15,0)))</f>
        <v/>
      </c>
      <c r="M6" s="15" t="str">
        <f aca="false">IF(OR(D6="",F6=""),"",((D6-F6)/D6)*100)</f>
        <v/>
      </c>
      <c r="N6" s="15" t="str">
        <f aca="false">IF(K6="","",K6/10000)</f>
        <v/>
      </c>
      <c r="O6" s="17" t="str">
        <f aca="false">IF(OR(N6="",L6=""),"",(N6/L6)*100)</f>
        <v/>
      </c>
      <c r="P6" s="7"/>
    </row>
    <row r="7" customFormat="false" ht="15.75" hidden="false" customHeight="true" outlineLevel="0" collapsed="false">
      <c r="A7" s="21" t="s">
        <v>70</v>
      </c>
      <c r="B7" s="22" t="n">
        <v>200</v>
      </c>
      <c r="C7" s="22" t="n">
        <v>3</v>
      </c>
      <c r="D7" s="14"/>
      <c r="E7" s="7"/>
      <c r="F7" s="14"/>
      <c r="G7" s="7"/>
      <c r="H7" s="27"/>
      <c r="I7" s="27"/>
      <c r="J7" s="14"/>
      <c r="K7" s="16" t="str">
        <f aca="false">IF(J7="","",J7*1000)</f>
        <v/>
      </c>
      <c r="L7" s="17" t="str">
        <f aca="false">IF(INDEX('1 - Mix Reference'!$H$4:$H$15,MATCH(A7,'1 - Mix Reference'!$A$4:$A$15,0))="","",INDEX('1 - Mix Reference'!$H$4:$H$15,MATCH(A7,'1 - Mix Reference'!$A$4:$A$15,0)))</f>
        <v/>
      </c>
      <c r="M7" s="15" t="str">
        <f aca="false">IF(OR(D7="",F7=""),"",((D7-F7)/D7)*100)</f>
        <v/>
      </c>
      <c r="N7" s="15" t="str">
        <f aca="false">IF(K7="","",K7/10000)</f>
        <v/>
      </c>
      <c r="O7" s="17" t="str">
        <f aca="false">IF(OR(N7="",L7=""),"",(N7/L7)*100)</f>
        <v/>
      </c>
      <c r="P7" s="7"/>
    </row>
    <row r="8" customFormat="false" ht="15.75" hidden="false" customHeight="true" outlineLevel="0" collapsed="false">
      <c r="A8" s="21" t="s">
        <v>74</v>
      </c>
      <c r="B8" s="22" t="n">
        <v>200</v>
      </c>
      <c r="C8" s="22" t="n">
        <v>1</v>
      </c>
      <c r="D8" s="14"/>
      <c r="E8" s="7"/>
      <c r="F8" s="14"/>
      <c r="G8" s="7"/>
      <c r="H8" s="27"/>
      <c r="I8" s="27"/>
      <c r="J8" s="14"/>
      <c r="K8" s="16" t="str">
        <f aca="false">IF(J8="","",J8*1000)</f>
        <v/>
      </c>
      <c r="L8" s="17" t="str">
        <f aca="false">IF(INDEX('1 - Mix Reference'!$H$4:$H$15,MATCH(A8,'1 - Mix Reference'!$A$4:$A$15,0))="","",INDEX('1 - Mix Reference'!$H$4:$H$15,MATCH(A8,'1 - Mix Reference'!$A$4:$A$15,0)))</f>
        <v/>
      </c>
      <c r="M8" s="15" t="str">
        <f aca="false">IF(OR(D8="",F8=""),"",((D8-F8)/D8)*100)</f>
        <v/>
      </c>
      <c r="N8" s="15" t="str">
        <f aca="false">IF(K8="","",K8/10000)</f>
        <v/>
      </c>
      <c r="O8" s="17" t="str">
        <f aca="false">IF(OR(N8="",L8=""),"",(N8/L8)*100)</f>
        <v/>
      </c>
      <c r="P8" s="7"/>
    </row>
    <row r="9" customFormat="false" ht="15.75" hidden="false" customHeight="true" outlineLevel="0" collapsed="false">
      <c r="A9" s="21" t="s">
        <v>74</v>
      </c>
      <c r="B9" s="22" t="n">
        <v>200</v>
      </c>
      <c r="C9" s="22" t="n">
        <v>2</v>
      </c>
      <c r="D9" s="14"/>
      <c r="E9" s="7"/>
      <c r="F9" s="14"/>
      <c r="G9" s="7"/>
      <c r="H9" s="27"/>
      <c r="I9" s="27"/>
      <c r="J9" s="14"/>
      <c r="K9" s="16" t="str">
        <f aca="false">IF(J9="","",J9*1000)</f>
        <v/>
      </c>
      <c r="L9" s="17" t="str">
        <f aca="false">IF(INDEX('1 - Mix Reference'!$H$4:$H$15,MATCH(A9,'1 - Mix Reference'!$A$4:$A$15,0))="","",INDEX('1 - Mix Reference'!$H$4:$H$15,MATCH(A9,'1 - Mix Reference'!$A$4:$A$15,0)))</f>
        <v/>
      </c>
      <c r="M9" s="15" t="str">
        <f aca="false">IF(OR(D9="",F9=""),"",((D9-F9)/D9)*100)</f>
        <v/>
      </c>
      <c r="N9" s="15" t="str">
        <f aca="false">IF(K9="","",K9/10000)</f>
        <v/>
      </c>
      <c r="O9" s="17" t="str">
        <f aca="false">IF(OR(N9="",L9=""),"",(N9/L9)*100)</f>
        <v/>
      </c>
      <c r="P9" s="7"/>
    </row>
    <row r="10" customFormat="false" ht="15.75" hidden="false" customHeight="true" outlineLevel="0" collapsed="false">
      <c r="A10" s="21" t="s">
        <v>74</v>
      </c>
      <c r="B10" s="22" t="n">
        <v>200</v>
      </c>
      <c r="C10" s="22" t="n">
        <v>3</v>
      </c>
      <c r="D10" s="14"/>
      <c r="E10" s="7"/>
      <c r="F10" s="14"/>
      <c r="G10" s="7"/>
      <c r="H10" s="27"/>
      <c r="I10" s="27"/>
      <c r="J10" s="14"/>
      <c r="K10" s="16" t="str">
        <f aca="false">IF(J10="","",J10*1000)</f>
        <v/>
      </c>
      <c r="L10" s="17" t="str">
        <f aca="false">IF(INDEX('1 - Mix Reference'!$H$4:$H$15,MATCH(A10,'1 - Mix Reference'!$A$4:$A$15,0))="","",INDEX('1 - Mix Reference'!$H$4:$H$15,MATCH(A10,'1 - Mix Reference'!$A$4:$A$15,0)))</f>
        <v/>
      </c>
      <c r="M10" s="15" t="str">
        <f aca="false">IF(OR(D10="",F10=""),"",((D10-F10)/D10)*100)</f>
        <v/>
      </c>
      <c r="N10" s="15" t="str">
        <f aca="false">IF(K10="","",K10/10000)</f>
        <v/>
      </c>
      <c r="O10" s="17" t="str">
        <f aca="false">IF(OR(N10="",L10=""),"",(N10/L10)*100)</f>
        <v/>
      </c>
      <c r="P10" s="7"/>
    </row>
    <row r="11" customFormat="false" ht="15.75" hidden="false" customHeight="true" outlineLevel="0" collapsed="false">
      <c r="A11" s="21" t="s">
        <v>76</v>
      </c>
      <c r="B11" s="22" t="n">
        <v>200</v>
      </c>
      <c r="C11" s="22" t="n">
        <v>1</v>
      </c>
      <c r="D11" s="14"/>
      <c r="E11" s="7"/>
      <c r="F11" s="14"/>
      <c r="G11" s="7"/>
      <c r="H11" s="27"/>
      <c r="I11" s="27"/>
      <c r="J11" s="14"/>
      <c r="K11" s="16" t="str">
        <f aca="false">IF(J11="","",J11*1000)</f>
        <v/>
      </c>
      <c r="L11" s="17" t="str">
        <f aca="false">IF(INDEX('1 - Mix Reference'!$H$4:$H$15,MATCH(A11,'1 - Mix Reference'!$A$4:$A$15,0))="","",INDEX('1 - Mix Reference'!$H$4:$H$15,MATCH(A11,'1 - Mix Reference'!$A$4:$A$15,0)))</f>
        <v/>
      </c>
      <c r="M11" s="15" t="str">
        <f aca="false">IF(OR(D11="",F11=""),"",((D11-F11)/D11)*100)</f>
        <v/>
      </c>
      <c r="N11" s="15" t="str">
        <f aca="false">IF(K11="","",K11/10000)</f>
        <v/>
      </c>
      <c r="O11" s="17" t="str">
        <f aca="false">IF(OR(N11="",L11=""),"",(N11/L11)*100)</f>
        <v/>
      </c>
      <c r="P11" s="7"/>
    </row>
    <row r="12" customFormat="false" ht="15.75" hidden="false" customHeight="true" outlineLevel="0" collapsed="false">
      <c r="A12" s="21" t="s">
        <v>76</v>
      </c>
      <c r="B12" s="22" t="n">
        <v>200</v>
      </c>
      <c r="C12" s="22" t="n">
        <v>2</v>
      </c>
      <c r="D12" s="14"/>
      <c r="E12" s="7"/>
      <c r="F12" s="14"/>
      <c r="G12" s="7"/>
      <c r="H12" s="27"/>
      <c r="I12" s="27"/>
      <c r="J12" s="14"/>
      <c r="K12" s="16" t="str">
        <f aca="false">IF(J12="","",J12*1000)</f>
        <v/>
      </c>
      <c r="L12" s="17" t="str">
        <f aca="false">IF(INDEX('1 - Mix Reference'!$H$4:$H$15,MATCH(A12,'1 - Mix Reference'!$A$4:$A$15,0))="","",INDEX('1 - Mix Reference'!$H$4:$H$15,MATCH(A12,'1 - Mix Reference'!$A$4:$A$15,0)))</f>
        <v/>
      </c>
      <c r="M12" s="15" t="str">
        <f aca="false">IF(OR(D12="",F12=""),"",((D12-F12)/D12)*100)</f>
        <v/>
      </c>
      <c r="N12" s="15" t="str">
        <f aca="false">IF(K12="","",K12/10000)</f>
        <v/>
      </c>
      <c r="O12" s="17" t="str">
        <f aca="false">IF(OR(N12="",L12=""),"",(N12/L12)*100)</f>
        <v/>
      </c>
      <c r="P12" s="7"/>
    </row>
    <row r="13" customFormat="false" ht="15.75" hidden="false" customHeight="true" outlineLevel="0" collapsed="false">
      <c r="A13" s="21" t="s">
        <v>76</v>
      </c>
      <c r="B13" s="22" t="n">
        <v>200</v>
      </c>
      <c r="C13" s="22" t="n">
        <v>3</v>
      </c>
      <c r="D13" s="14"/>
      <c r="E13" s="7"/>
      <c r="F13" s="14"/>
      <c r="G13" s="7"/>
      <c r="H13" s="27"/>
      <c r="I13" s="27"/>
      <c r="J13" s="14"/>
      <c r="K13" s="16" t="str">
        <f aca="false">IF(J13="","",J13*1000)</f>
        <v/>
      </c>
      <c r="L13" s="17" t="str">
        <f aca="false">IF(INDEX('1 - Mix Reference'!$H$4:$H$15,MATCH(A13,'1 - Mix Reference'!$A$4:$A$15,0))="","",INDEX('1 - Mix Reference'!$H$4:$H$15,MATCH(A13,'1 - Mix Reference'!$A$4:$A$15,0)))</f>
        <v/>
      </c>
      <c r="M13" s="15" t="str">
        <f aca="false">IF(OR(D13="",F13=""),"",((D13-F13)/D13)*100)</f>
        <v/>
      </c>
      <c r="N13" s="15" t="str">
        <f aca="false">IF(K13="","",K13/10000)</f>
        <v/>
      </c>
      <c r="O13" s="17" t="str">
        <f aca="false">IF(OR(N13="",L13=""),"",(N13/L13)*100)</f>
        <v/>
      </c>
      <c r="P13" s="7"/>
    </row>
    <row r="14" customFormat="false" ht="15.75" hidden="false" customHeight="true" outlineLevel="0" collapsed="false">
      <c r="A14" s="21" t="s">
        <v>77</v>
      </c>
      <c r="B14" s="22" t="n">
        <v>200</v>
      </c>
      <c r="C14" s="22" t="n">
        <v>1</v>
      </c>
      <c r="D14" s="14"/>
      <c r="E14" s="7"/>
      <c r="F14" s="14"/>
      <c r="G14" s="7"/>
      <c r="H14" s="27"/>
      <c r="I14" s="27"/>
      <c r="J14" s="14"/>
      <c r="K14" s="16" t="str">
        <f aca="false">IF(J14="","",J14*1000)</f>
        <v/>
      </c>
      <c r="L14" s="17" t="str">
        <f aca="false">IF(INDEX('1 - Mix Reference'!$H$4:$H$15,MATCH(A14,'1 - Mix Reference'!$A$4:$A$15,0))="","",INDEX('1 - Mix Reference'!$H$4:$H$15,MATCH(A14,'1 - Mix Reference'!$A$4:$A$15,0)))</f>
        <v/>
      </c>
      <c r="M14" s="15" t="str">
        <f aca="false">IF(OR(D14="",F14=""),"",((D14-F14)/D14)*100)</f>
        <v/>
      </c>
      <c r="N14" s="15" t="str">
        <f aca="false">IF(K14="","",K14/10000)</f>
        <v/>
      </c>
      <c r="O14" s="17" t="str">
        <f aca="false">IF(OR(N14="",L14=""),"",(N14/L14)*100)</f>
        <v/>
      </c>
      <c r="P14" s="7"/>
    </row>
    <row r="15" customFormat="false" ht="15.75" hidden="false" customHeight="true" outlineLevel="0" collapsed="false">
      <c r="A15" s="21" t="s">
        <v>77</v>
      </c>
      <c r="B15" s="22" t="n">
        <v>200</v>
      </c>
      <c r="C15" s="22" t="n">
        <v>2</v>
      </c>
      <c r="D15" s="14"/>
      <c r="E15" s="7"/>
      <c r="F15" s="14"/>
      <c r="G15" s="7"/>
      <c r="H15" s="27"/>
      <c r="I15" s="27"/>
      <c r="J15" s="14"/>
      <c r="K15" s="16" t="str">
        <f aca="false">IF(J15="","",J15*1000)</f>
        <v/>
      </c>
      <c r="L15" s="17" t="str">
        <f aca="false">IF(INDEX('1 - Mix Reference'!$H$4:$H$15,MATCH(A15,'1 - Mix Reference'!$A$4:$A$15,0))="","",INDEX('1 - Mix Reference'!$H$4:$H$15,MATCH(A15,'1 - Mix Reference'!$A$4:$A$15,0)))</f>
        <v/>
      </c>
      <c r="M15" s="15" t="str">
        <f aca="false">IF(OR(D15="",F15=""),"",((D15-F15)/D15)*100)</f>
        <v/>
      </c>
      <c r="N15" s="15" t="str">
        <f aca="false">IF(K15="","",K15/10000)</f>
        <v/>
      </c>
      <c r="O15" s="17" t="str">
        <f aca="false">IF(OR(N15="",L15=""),"",(N15/L15)*100)</f>
        <v/>
      </c>
      <c r="P15" s="7"/>
    </row>
    <row r="16" customFormat="false" ht="15.75" hidden="false" customHeight="true" outlineLevel="0" collapsed="false">
      <c r="A16" s="21" t="s">
        <v>77</v>
      </c>
      <c r="B16" s="22" t="n">
        <v>200</v>
      </c>
      <c r="C16" s="22" t="n">
        <v>3</v>
      </c>
      <c r="D16" s="14"/>
      <c r="E16" s="7"/>
      <c r="F16" s="14"/>
      <c r="G16" s="7"/>
      <c r="H16" s="27"/>
      <c r="I16" s="27"/>
      <c r="J16" s="14"/>
      <c r="K16" s="16" t="str">
        <f aca="false">IF(J16="","",J16*1000)</f>
        <v/>
      </c>
      <c r="L16" s="17" t="str">
        <f aca="false">IF(INDEX('1 - Mix Reference'!$H$4:$H$15,MATCH(A16,'1 - Mix Reference'!$A$4:$A$15,0))="","",INDEX('1 - Mix Reference'!$H$4:$H$15,MATCH(A16,'1 - Mix Reference'!$A$4:$A$15,0)))</f>
        <v/>
      </c>
      <c r="M16" s="15" t="str">
        <f aca="false">IF(OR(D16="",F16=""),"",((D16-F16)/D16)*100)</f>
        <v/>
      </c>
      <c r="N16" s="15" t="str">
        <f aca="false">IF(K16="","",K16/10000)</f>
        <v/>
      </c>
      <c r="O16" s="17" t="str">
        <f aca="false">IF(OR(N16="",L16=""),"",(N16/L16)*100)</f>
        <v/>
      </c>
      <c r="P16" s="7"/>
    </row>
    <row r="17" customFormat="false" ht="15.75" hidden="false" customHeight="true" outlineLevel="0" collapsed="false">
      <c r="A17" s="21" t="s">
        <v>78</v>
      </c>
      <c r="B17" s="22" t="n">
        <v>200</v>
      </c>
      <c r="C17" s="22" t="n">
        <v>1</v>
      </c>
      <c r="D17" s="14"/>
      <c r="E17" s="7"/>
      <c r="F17" s="14"/>
      <c r="G17" s="7"/>
      <c r="H17" s="27"/>
      <c r="I17" s="27"/>
      <c r="J17" s="14"/>
      <c r="K17" s="16" t="str">
        <f aca="false">IF(J17="","",J17*1000)</f>
        <v/>
      </c>
      <c r="L17" s="17" t="str">
        <f aca="false">IF(INDEX('1 - Mix Reference'!$H$4:$H$15,MATCH(A17,'1 - Mix Reference'!$A$4:$A$15,0))="","",INDEX('1 - Mix Reference'!$H$4:$H$15,MATCH(A17,'1 - Mix Reference'!$A$4:$A$15,0)))</f>
        <v/>
      </c>
      <c r="M17" s="15" t="str">
        <f aca="false">IF(OR(D17="",F17=""),"",((D17-F17)/D17)*100)</f>
        <v/>
      </c>
      <c r="N17" s="15" t="str">
        <f aca="false">IF(K17="","",K17/10000)</f>
        <v/>
      </c>
      <c r="O17" s="17" t="str">
        <f aca="false">IF(OR(N17="",L17=""),"",(N17/L17)*100)</f>
        <v/>
      </c>
      <c r="P17" s="7"/>
    </row>
    <row r="18" customFormat="false" ht="15.75" hidden="false" customHeight="true" outlineLevel="0" collapsed="false">
      <c r="A18" s="21" t="s">
        <v>78</v>
      </c>
      <c r="B18" s="22" t="n">
        <v>200</v>
      </c>
      <c r="C18" s="22" t="n">
        <v>2</v>
      </c>
      <c r="D18" s="14"/>
      <c r="E18" s="7"/>
      <c r="F18" s="14"/>
      <c r="G18" s="7"/>
      <c r="H18" s="27"/>
      <c r="I18" s="27"/>
      <c r="J18" s="14"/>
      <c r="K18" s="16" t="str">
        <f aca="false">IF(J18="","",J18*1000)</f>
        <v/>
      </c>
      <c r="L18" s="17" t="str">
        <f aca="false">IF(INDEX('1 - Mix Reference'!$H$4:$H$15,MATCH(A18,'1 - Mix Reference'!$A$4:$A$15,0))="","",INDEX('1 - Mix Reference'!$H$4:$H$15,MATCH(A18,'1 - Mix Reference'!$A$4:$A$15,0)))</f>
        <v/>
      </c>
      <c r="M18" s="15" t="str">
        <f aca="false">IF(OR(D18="",F18=""),"",((D18-F18)/D18)*100)</f>
        <v/>
      </c>
      <c r="N18" s="15" t="str">
        <f aca="false">IF(K18="","",K18/10000)</f>
        <v/>
      </c>
      <c r="O18" s="17" t="str">
        <f aca="false">IF(OR(N18="",L18=""),"",(N18/L18)*100)</f>
        <v/>
      </c>
      <c r="P18" s="7"/>
    </row>
    <row r="19" customFormat="false" ht="15.75" hidden="false" customHeight="true" outlineLevel="0" collapsed="false">
      <c r="A19" s="21" t="s">
        <v>78</v>
      </c>
      <c r="B19" s="22" t="n">
        <v>200</v>
      </c>
      <c r="C19" s="22" t="n">
        <v>3</v>
      </c>
      <c r="D19" s="14"/>
      <c r="E19" s="7"/>
      <c r="F19" s="14"/>
      <c r="G19" s="7"/>
      <c r="H19" s="27"/>
      <c r="I19" s="27"/>
      <c r="J19" s="14"/>
      <c r="K19" s="16" t="str">
        <f aca="false">IF(J19="","",J19*1000)</f>
        <v/>
      </c>
      <c r="L19" s="17" t="str">
        <f aca="false">IF(INDEX('1 - Mix Reference'!$H$4:$H$15,MATCH(A19,'1 - Mix Reference'!$A$4:$A$15,0))="","",INDEX('1 - Mix Reference'!$H$4:$H$15,MATCH(A19,'1 - Mix Reference'!$A$4:$A$15,0)))</f>
        <v/>
      </c>
      <c r="M19" s="15" t="str">
        <f aca="false">IF(OR(D19="",F19=""),"",((D19-F19)/D19)*100)</f>
        <v/>
      </c>
      <c r="N19" s="15" t="str">
        <f aca="false">IF(K19="","",K19/10000)</f>
        <v/>
      </c>
      <c r="O19" s="17" t="str">
        <f aca="false">IF(OR(N19="",L19=""),"",(N19/L19)*100)</f>
        <v/>
      </c>
      <c r="P19" s="7"/>
    </row>
    <row r="20" customFormat="false" ht="15.75" hidden="false" customHeight="true" outlineLevel="0" collapsed="false">
      <c r="A20" s="21" t="s">
        <v>79</v>
      </c>
      <c r="B20" s="22" t="n">
        <v>200</v>
      </c>
      <c r="C20" s="22" t="n">
        <v>1</v>
      </c>
      <c r="D20" s="14"/>
      <c r="E20" s="7"/>
      <c r="F20" s="14"/>
      <c r="G20" s="7"/>
      <c r="H20" s="27"/>
      <c r="I20" s="27"/>
      <c r="J20" s="14"/>
      <c r="K20" s="16" t="str">
        <f aca="false">IF(J20="","",J20*1000)</f>
        <v/>
      </c>
      <c r="L20" s="17" t="str">
        <f aca="false">IF(INDEX('1 - Mix Reference'!$H$4:$H$15,MATCH(A20,'1 - Mix Reference'!$A$4:$A$15,0))="","",INDEX('1 - Mix Reference'!$H$4:$H$15,MATCH(A20,'1 - Mix Reference'!$A$4:$A$15,0)))</f>
        <v/>
      </c>
      <c r="M20" s="15" t="str">
        <f aca="false">IF(OR(D20="",F20=""),"",((D20-F20)/D20)*100)</f>
        <v/>
      </c>
      <c r="N20" s="15" t="str">
        <f aca="false">IF(K20="","",K20/10000)</f>
        <v/>
      </c>
      <c r="O20" s="17" t="str">
        <f aca="false">IF(OR(N20="",L20=""),"",(N20/L20)*100)</f>
        <v/>
      </c>
      <c r="P20" s="7"/>
    </row>
    <row r="21" customFormat="false" ht="15.75" hidden="false" customHeight="true" outlineLevel="0" collapsed="false">
      <c r="A21" s="21" t="s">
        <v>79</v>
      </c>
      <c r="B21" s="22" t="n">
        <v>200</v>
      </c>
      <c r="C21" s="22" t="n">
        <v>2</v>
      </c>
      <c r="D21" s="14"/>
      <c r="E21" s="7"/>
      <c r="F21" s="14"/>
      <c r="G21" s="7"/>
      <c r="H21" s="27"/>
      <c r="I21" s="27"/>
      <c r="J21" s="14"/>
      <c r="K21" s="16" t="str">
        <f aca="false">IF(J21="","",J21*1000)</f>
        <v/>
      </c>
      <c r="L21" s="17" t="str">
        <f aca="false">IF(INDEX('1 - Mix Reference'!$H$4:$H$15,MATCH(A21,'1 - Mix Reference'!$A$4:$A$15,0))="","",INDEX('1 - Mix Reference'!$H$4:$H$15,MATCH(A21,'1 - Mix Reference'!$A$4:$A$15,0)))</f>
        <v/>
      </c>
      <c r="M21" s="15" t="str">
        <f aca="false">IF(OR(D21="",F21=""),"",((D21-F21)/D21)*100)</f>
        <v/>
      </c>
      <c r="N21" s="15" t="str">
        <f aca="false">IF(K21="","",K21/10000)</f>
        <v/>
      </c>
      <c r="O21" s="17" t="str">
        <f aca="false">IF(OR(N21="",L21=""),"",(N21/L21)*100)</f>
        <v/>
      </c>
      <c r="P21" s="7"/>
    </row>
    <row r="22" customFormat="false" ht="15.75" hidden="false" customHeight="true" outlineLevel="0" collapsed="false">
      <c r="A22" s="21" t="s">
        <v>79</v>
      </c>
      <c r="B22" s="22" t="n">
        <v>200</v>
      </c>
      <c r="C22" s="22" t="n">
        <v>3</v>
      </c>
      <c r="D22" s="14"/>
      <c r="E22" s="7"/>
      <c r="F22" s="14"/>
      <c r="G22" s="7"/>
      <c r="H22" s="27"/>
      <c r="I22" s="27"/>
      <c r="J22" s="14"/>
      <c r="K22" s="16" t="str">
        <f aca="false">IF(J22="","",J22*1000)</f>
        <v/>
      </c>
      <c r="L22" s="17" t="str">
        <f aca="false">IF(INDEX('1 - Mix Reference'!$H$4:$H$15,MATCH(A22,'1 - Mix Reference'!$A$4:$A$15,0))="","",INDEX('1 - Mix Reference'!$H$4:$H$15,MATCH(A22,'1 - Mix Reference'!$A$4:$A$15,0)))</f>
        <v/>
      </c>
      <c r="M22" s="15" t="str">
        <f aca="false">IF(OR(D22="",F22=""),"",((D22-F22)/D22)*100)</f>
        <v/>
      </c>
      <c r="N22" s="15" t="str">
        <f aca="false">IF(K22="","",K22/10000)</f>
        <v/>
      </c>
      <c r="O22" s="17" t="str">
        <f aca="false">IF(OR(N22="",L22=""),"",(N22/L22)*100)</f>
        <v/>
      </c>
      <c r="P22" s="7"/>
    </row>
    <row r="23" customFormat="false" ht="15.75" hidden="false" customHeight="true" outlineLevel="0" collapsed="false">
      <c r="A23" s="21" t="s">
        <v>81</v>
      </c>
      <c r="B23" s="22" t="n">
        <v>200</v>
      </c>
      <c r="C23" s="22" t="n">
        <v>1</v>
      </c>
      <c r="D23" s="14"/>
      <c r="E23" s="7"/>
      <c r="F23" s="14"/>
      <c r="G23" s="7"/>
      <c r="H23" s="27"/>
      <c r="I23" s="27"/>
      <c r="J23" s="14"/>
      <c r="K23" s="16" t="str">
        <f aca="false">IF(J23="","",J23*1000)</f>
        <v/>
      </c>
      <c r="L23" s="17" t="str">
        <f aca="false">IF(INDEX('1 - Mix Reference'!$H$4:$H$15,MATCH(A23,'1 - Mix Reference'!$A$4:$A$15,0))="","",INDEX('1 - Mix Reference'!$H$4:$H$15,MATCH(A23,'1 - Mix Reference'!$A$4:$A$15,0)))</f>
        <v/>
      </c>
      <c r="M23" s="15" t="str">
        <f aca="false">IF(OR(D23="",F23=""),"",((D23-F23)/D23)*100)</f>
        <v/>
      </c>
      <c r="N23" s="15" t="str">
        <f aca="false">IF(K23="","",K23/10000)</f>
        <v/>
      </c>
      <c r="O23" s="17" t="str">
        <f aca="false">IF(OR(N23="",L23=""),"",(N23/L23)*100)</f>
        <v/>
      </c>
      <c r="P23" s="7"/>
    </row>
    <row r="24" customFormat="false" ht="15.75" hidden="false" customHeight="true" outlineLevel="0" collapsed="false">
      <c r="A24" s="21" t="s">
        <v>81</v>
      </c>
      <c r="B24" s="22" t="n">
        <v>200</v>
      </c>
      <c r="C24" s="22" t="n">
        <v>2</v>
      </c>
      <c r="D24" s="14"/>
      <c r="E24" s="7"/>
      <c r="F24" s="14"/>
      <c r="G24" s="7"/>
      <c r="H24" s="27"/>
      <c r="I24" s="27"/>
      <c r="J24" s="14"/>
      <c r="K24" s="16" t="str">
        <f aca="false">IF(J24="","",J24*1000)</f>
        <v/>
      </c>
      <c r="L24" s="17" t="str">
        <f aca="false">IF(INDEX('1 - Mix Reference'!$H$4:$H$15,MATCH(A24,'1 - Mix Reference'!$A$4:$A$15,0))="","",INDEX('1 - Mix Reference'!$H$4:$H$15,MATCH(A24,'1 - Mix Reference'!$A$4:$A$15,0)))</f>
        <v/>
      </c>
      <c r="M24" s="15" t="str">
        <f aca="false">IF(OR(D24="",F24=""),"",((D24-F24)/D24)*100)</f>
        <v/>
      </c>
      <c r="N24" s="15" t="str">
        <f aca="false">IF(K24="","",K24/10000)</f>
        <v/>
      </c>
      <c r="O24" s="17" t="str">
        <f aca="false">IF(OR(N24="",L24=""),"",(N24/L24)*100)</f>
        <v/>
      </c>
      <c r="P24" s="7"/>
    </row>
    <row r="25" customFormat="false" ht="15.75" hidden="false" customHeight="true" outlineLevel="0" collapsed="false">
      <c r="A25" s="21" t="s">
        <v>81</v>
      </c>
      <c r="B25" s="22" t="n">
        <v>200</v>
      </c>
      <c r="C25" s="22" t="n">
        <v>3</v>
      </c>
      <c r="D25" s="14"/>
      <c r="E25" s="7"/>
      <c r="F25" s="14"/>
      <c r="G25" s="7"/>
      <c r="H25" s="27"/>
      <c r="I25" s="27"/>
      <c r="J25" s="14"/>
      <c r="K25" s="16" t="str">
        <f aca="false">IF(J25="","",J25*1000)</f>
        <v/>
      </c>
      <c r="L25" s="17" t="str">
        <f aca="false">IF(INDEX('1 - Mix Reference'!$H$4:$H$15,MATCH(A25,'1 - Mix Reference'!$A$4:$A$15,0))="","",INDEX('1 - Mix Reference'!$H$4:$H$15,MATCH(A25,'1 - Mix Reference'!$A$4:$A$15,0)))</f>
        <v/>
      </c>
      <c r="M25" s="15" t="str">
        <f aca="false">IF(OR(D25="",F25=""),"",((D25-F25)/D25)*100)</f>
        <v/>
      </c>
      <c r="N25" s="15" t="str">
        <f aca="false">IF(K25="","",K25/10000)</f>
        <v/>
      </c>
      <c r="O25" s="17" t="str">
        <f aca="false">IF(OR(N25="",L25=""),"",(N25/L25)*100)</f>
        <v/>
      </c>
      <c r="P25" s="7"/>
    </row>
    <row r="26" customFormat="false" ht="15.75" hidden="false" customHeight="true" outlineLevel="0" collapsed="false">
      <c r="A26" s="21" t="s">
        <v>83</v>
      </c>
      <c r="B26" s="22" t="n">
        <v>200</v>
      </c>
      <c r="C26" s="22" t="n">
        <v>1</v>
      </c>
      <c r="D26" s="14"/>
      <c r="E26" s="7"/>
      <c r="F26" s="14"/>
      <c r="G26" s="7"/>
      <c r="H26" s="27"/>
      <c r="I26" s="27"/>
      <c r="J26" s="14"/>
      <c r="K26" s="16" t="str">
        <f aca="false">IF(J26="","",J26*1000)</f>
        <v/>
      </c>
      <c r="L26" s="17" t="str">
        <f aca="false">IF(INDEX('1 - Mix Reference'!$H$4:$H$15,MATCH(A26,'1 - Mix Reference'!$A$4:$A$15,0))="","",INDEX('1 - Mix Reference'!$H$4:$H$15,MATCH(A26,'1 - Mix Reference'!$A$4:$A$15,0)))</f>
        <v/>
      </c>
      <c r="M26" s="15" t="str">
        <f aca="false">IF(OR(D26="",F26=""),"",((D26-F26)/D26)*100)</f>
        <v/>
      </c>
      <c r="N26" s="15" t="str">
        <f aca="false">IF(K26="","",K26/10000)</f>
        <v/>
      </c>
      <c r="O26" s="17" t="str">
        <f aca="false">IF(OR(N26="",L26=""),"",(N26/L26)*100)</f>
        <v/>
      </c>
      <c r="P26" s="7"/>
    </row>
    <row r="27" customFormat="false" ht="15.75" hidden="false" customHeight="true" outlineLevel="0" collapsed="false">
      <c r="A27" s="21" t="s">
        <v>83</v>
      </c>
      <c r="B27" s="22" t="n">
        <v>200</v>
      </c>
      <c r="C27" s="22" t="n">
        <v>2</v>
      </c>
      <c r="D27" s="14"/>
      <c r="E27" s="7"/>
      <c r="F27" s="14"/>
      <c r="G27" s="7"/>
      <c r="H27" s="27"/>
      <c r="I27" s="27"/>
      <c r="J27" s="14"/>
      <c r="K27" s="16" t="str">
        <f aca="false">IF(J27="","",J27*1000)</f>
        <v/>
      </c>
      <c r="L27" s="17" t="str">
        <f aca="false">IF(INDEX('1 - Mix Reference'!$H$4:$H$15,MATCH(A27,'1 - Mix Reference'!$A$4:$A$15,0))="","",INDEX('1 - Mix Reference'!$H$4:$H$15,MATCH(A27,'1 - Mix Reference'!$A$4:$A$15,0)))</f>
        <v/>
      </c>
      <c r="M27" s="15" t="str">
        <f aca="false">IF(OR(D27="",F27=""),"",((D27-F27)/D27)*100)</f>
        <v/>
      </c>
      <c r="N27" s="15" t="str">
        <f aca="false">IF(K27="","",K27/10000)</f>
        <v/>
      </c>
      <c r="O27" s="17" t="str">
        <f aca="false">IF(OR(N27="",L27=""),"",(N27/L27)*100)</f>
        <v/>
      </c>
      <c r="P27" s="7"/>
    </row>
    <row r="28" customFormat="false" ht="15.75" hidden="false" customHeight="true" outlineLevel="0" collapsed="false">
      <c r="A28" s="21" t="s">
        <v>83</v>
      </c>
      <c r="B28" s="22" t="n">
        <v>200</v>
      </c>
      <c r="C28" s="22" t="n">
        <v>3</v>
      </c>
      <c r="D28" s="14"/>
      <c r="E28" s="7"/>
      <c r="F28" s="14"/>
      <c r="G28" s="7"/>
      <c r="H28" s="27"/>
      <c r="I28" s="27"/>
      <c r="J28" s="14"/>
      <c r="K28" s="16" t="str">
        <f aca="false">IF(J28="","",J28*1000)</f>
        <v/>
      </c>
      <c r="L28" s="17" t="str">
        <f aca="false">IF(INDEX('1 - Mix Reference'!$H$4:$H$15,MATCH(A28,'1 - Mix Reference'!$A$4:$A$15,0))="","",INDEX('1 - Mix Reference'!$H$4:$H$15,MATCH(A28,'1 - Mix Reference'!$A$4:$A$15,0)))</f>
        <v/>
      </c>
      <c r="M28" s="15" t="str">
        <f aca="false">IF(OR(D28="",F28=""),"",((D28-F28)/D28)*100)</f>
        <v/>
      </c>
      <c r="N28" s="15" t="str">
        <f aca="false">IF(K28="","",K28/10000)</f>
        <v/>
      </c>
      <c r="O28" s="17" t="str">
        <f aca="false">IF(OR(N28="",L28=""),"",(N28/L28)*100)</f>
        <v/>
      </c>
      <c r="P28" s="7"/>
    </row>
    <row r="29" customFormat="false" ht="15.75" hidden="false" customHeight="true" outlineLevel="0" collapsed="false">
      <c r="A29" s="21" t="s">
        <v>85</v>
      </c>
      <c r="B29" s="22" t="n">
        <v>200</v>
      </c>
      <c r="C29" s="22" t="n">
        <v>1</v>
      </c>
      <c r="D29" s="14"/>
      <c r="E29" s="7"/>
      <c r="F29" s="14"/>
      <c r="G29" s="7"/>
      <c r="H29" s="27"/>
      <c r="I29" s="27"/>
      <c r="J29" s="14"/>
      <c r="K29" s="16" t="str">
        <f aca="false">IF(J29="","",J29*1000)</f>
        <v/>
      </c>
      <c r="L29" s="17" t="str">
        <f aca="false">IF(INDEX('1 - Mix Reference'!$H$4:$H$15,MATCH(A29,'1 - Mix Reference'!$A$4:$A$15,0))="","",INDEX('1 - Mix Reference'!$H$4:$H$15,MATCH(A29,'1 - Mix Reference'!$A$4:$A$15,0)))</f>
        <v/>
      </c>
      <c r="M29" s="15" t="str">
        <f aca="false">IF(OR(D29="",F29=""),"",((D29-F29)/D29)*100)</f>
        <v/>
      </c>
      <c r="N29" s="15" t="str">
        <f aca="false">IF(K29="","",K29/10000)</f>
        <v/>
      </c>
      <c r="O29" s="17" t="str">
        <f aca="false">IF(OR(N29="",L29=""),"",(N29/L29)*100)</f>
        <v/>
      </c>
      <c r="P29" s="7"/>
    </row>
    <row r="30" customFormat="false" ht="15.75" hidden="false" customHeight="true" outlineLevel="0" collapsed="false">
      <c r="A30" s="21" t="s">
        <v>85</v>
      </c>
      <c r="B30" s="22" t="n">
        <v>200</v>
      </c>
      <c r="C30" s="22" t="n">
        <v>2</v>
      </c>
      <c r="D30" s="14"/>
      <c r="E30" s="7"/>
      <c r="F30" s="14"/>
      <c r="G30" s="7"/>
      <c r="H30" s="27"/>
      <c r="I30" s="27"/>
      <c r="J30" s="14"/>
      <c r="K30" s="16" t="str">
        <f aca="false">IF(J30="","",J30*1000)</f>
        <v/>
      </c>
      <c r="L30" s="17" t="str">
        <f aca="false">IF(INDEX('1 - Mix Reference'!$H$4:$H$15,MATCH(A30,'1 - Mix Reference'!$A$4:$A$15,0))="","",INDEX('1 - Mix Reference'!$H$4:$H$15,MATCH(A30,'1 - Mix Reference'!$A$4:$A$15,0)))</f>
        <v/>
      </c>
      <c r="M30" s="15" t="str">
        <f aca="false">IF(OR(D30="",F30=""),"",((D30-F30)/D30)*100)</f>
        <v/>
      </c>
      <c r="N30" s="15" t="str">
        <f aca="false">IF(K30="","",K30/10000)</f>
        <v/>
      </c>
      <c r="O30" s="17" t="str">
        <f aca="false">IF(OR(N30="",L30=""),"",(N30/L30)*100)</f>
        <v/>
      </c>
      <c r="P30" s="7"/>
    </row>
    <row r="31" customFormat="false" ht="15.75" hidden="false" customHeight="true" outlineLevel="0" collapsed="false">
      <c r="A31" s="21" t="s">
        <v>85</v>
      </c>
      <c r="B31" s="22" t="n">
        <v>200</v>
      </c>
      <c r="C31" s="22" t="n">
        <v>3</v>
      </c>
      <c r="D31" s="14"/>
      <c r="E31" s="7"/>
      <c r="F31" s="14"/>
      <c r="G31" s="7"/>
      <c r="H31" s="27"/>
      <c r="I31" s="27"/>
      <c r="J31" s="14"/>
      <c r="K31" s="16" t="str">
        <f aca="false">IF(J31="","",J31*1000)</f>
        <v/>
      </c>
      <c r="L31" s="17" t="str">
        <f aca="false">IF(INDEX('1 - Mix Reference'!$H$4:$H$15,MATCH(A31,'1 - Mix Reference'!$A$4:$A$15,0))="","",INDEX('1 - Mix Reference'!$H$4:$H$15,MATCH(A31,'1 - Mix Reference'!$A$4:$A$15,0)))</f>
        <v/>
      </c>
      <c r="M31" s="15" t="str">
        <f aca="false">IF(OR(D31="",F31=""),"",((D31-F31)/D31)*100)</f>
        <v/>
      </c>
      <c r="N31" s="15" t="str">
        <f aca="false">IF(K31="","",K31/10000)</f>
        <v/>
      </c>
      <c r="O31" s="17" t="str">
        <f aca="false">IF(OR(N31="",L31=""),"",(N31/L31)*100)</f>
        <v/>
      </c>
      <c r="P31" s="7"/>
    </row>
    <row r="32" customFormat="false" ht="15.75" hidden="false" customHeight="true" outlineLevel="0" collapsed="false">
      <c r="A32" s="23" t="s">
        <v>86</v>
      </c>
      <c r="B32" s="24" t="n">
        <v>200</v>
      </c>
      <c r="C32" s="24" t="n">
        <v>1</v>
      </c>
      <c r="D32" s="14"/>
      <c r="E32" s="7"/>
      <c r="F32" s="14"/>
      <c r="G32" s="7"/>
      <c r="H32" s="27"/>
      <c r="I32" s="27"/>
      <c r="J32" s="14"/>
      <c r="K32" s="16" t="str">
        <f aca="false">IF(J32="","",J32*1000)</f>
        <v/>
      </c>
      <c r="L32" s="17" t="str">
        <f aca="false">IF(INDEX('1 - Mix Reference'!$H$4:$H$15,MATCH(A32,'1 - Mix Reference'!$A$4:$A$15,0))="","",INDEX('1 - Mix Reference'!$H$4:$H$15,MATCH(A32,'1 - Mix Reference'!$A$4:$A$15,0)))</f>
        <v/>
      </c>
      <c r="M32" s="15" t="str">
        <f aca="false">IF(OR(D32="",F32=""),"",((D32-F32)/D32)*100)</f>
        <v/>
      </c>
      <c r="N32" s="15" t="str">
        <f aca="false">IF(K32="","",K32/10000)</f>
        <v/>
      </c>
      <c r="O32" s="17" t="str">
        <f aca="false">IF(OR(N32="",L32=""),"",(N32/L32)*100)</f>
        <v/>
      </c>
      <c r="P32" s="7"/>
    </row>
    <row r="33" customFormat="false" ht="15.75" hidden="false" customHeight="true" outlineLevel="0" collapsed="false">
      <c r="A33" s="23" t="s">
        <v>86</v>
      </c>
      <c r="B33" s="24" t="n">
        <v>200</v>
      </c>
      <c r="C33" s="24" t="n">
        <v>2</v>
      </c>
      <c r="D33" s="14"/>
      <c r="E33" s="7"/>
      <c r="F33" s="14"/>
      <c r="G33" s="7"/>
      <c r="H33" s="27"/>
      <c r="I33" s="27"/>
      <c r="J33" s="14"/>
      <c r="K33" s="16" t="str">
        <f aca="false">IF(J33="","",J33*1000)</f>
        <v/>
      </c>
      <c r="L33" s="17" t="str">
        <f aca="false">IF(INDEX('1 - Mix Reference'!$H$4:$H$15,MATCH(A33,'1 - Mix Reference'!$A$4:$A$15,0))="","",INDEX('1 - Mix Reference'!$H$4:$H$15,MATCH(A33,'1 - Mix Reference'!$A$4:$A$15,0)))</f>
        <v/>
      </c>
      <c r="M33" s="15" t="str">
        <f aca="false">IF(OR(D33="",F33=""),"",((D33-F33)/D33)*100)</f>
        <v/>
      </c>
      <c r="N33" s="15" t="str">
        <f aca="false">IF(K33="","",K33/10000)</f>
        <v/>
      </c>
      <c r="O33" s="17" t="str">
        <f aca="false">IF(OR(N33="",L33=""),"",(N33/L33)*100)</f>
        <v/>
      </c>
      <c r="P33" s="7"/>
    </row>
    <row r="34" customFormat="false" ht="15.75" hidden="false" customHeight="true" outlineLevel="0" collapsed="false">
      <c r="A34" s="23" t="s">
        <v>86</v>
      </c>
      <c r="B34" s="24" t="n">
        <v>200</v>
      </c>
      <c r="C34" s="24" t="n">
        <v>3</v>
      </c>
      <c r="D34" s="14"/>
      <c r="E34" s="7"/>
      <c r="F34" s="14"/>
      <c r="G34" s="7"/>
      <c r="H34" s="27"/>
      <c r="I34" s="27"/>
      <c r="J34" s="14"/>
      <c r="K34" s="16" t="str">
        <f aca="false">IF(J34="","",J34*1000)</f>
        <v/>
      </c>
      <c r="L34" s="17" t="str">
        <f aca="false">IF(INDEX('1 - Mix Reference'!$H$4:$H$15,MATCH(A34,'1 - Mix Reference'!$A$4:$A$15,0))="","",INDEX('1 - Mix Reference'!$H$4:$H$15,MATCH(A34,'1 - Mix Reference'!$A$4:$A$15,0)))</f>
        <v/>
      </c>
      <c r="M34" s="15" t="str">
        <f aca="false">IF(OR(D34="",F34=""),"",((D34-F34)/D34)*100)</f>
        <v/>
      </c>
      <c r="N34" s="15" t="str">
        <f aca="false">IF(K34="","",K34/10000)</f>
        <v/>
      </c>
      <c r="O34" s="17" t="str">
        <f aca="false">IF(OR(N34="",L34=""),"",(N34/L34)*100)</f>
        <v/>
      </c>
      <c r="P34" s="7"/>
    </row>
    <row r="35" customFormat="false" ht="15.75" hidden="false" customHeight="true" outlineLevel="0" collapsed="false">
      <c r="A35" s="21" t="s">
        <v>88</v>
      </c>
      <c r="B35" s="22" t="n">
        <v>200</v>
      </c>
      <c r="C35" s="22" t="n">
        <v>1</v>
      </c>
      <c r="D35" s="14"/>
      <c r="E35" s="7"/>
      <c r="F35" s="14"/>
      <c r="G35" s="7"/>
      <c r="H35" s="27"/>
      <c r="I35" s="27"/>
      <c r="J35" s="14"/>
      <c r="K35" s="16" t="str">
        <f aca="false">IF(J35="","",J35*1000)</f>
        <v/>
      </c>
      <c r="L35" s="17" t="str">
        <f aca="false">IF(INDEX('1 - Mix Reference'!$H$4:$H$15,MATCH(A35,'1 - Mix Reference'!$A$4:$A$15,0))="","",INDEX('1 - Mix Reference'!$H$4:$H$15,MATCH(A35,'1 - Mix Reference'!$A$4:$A$15,0)))</f>
        <v/>
      </c>
      <c r="M35" s="15" t="str">
        <f aca="false">IF(OR(D35="",F35=""),"",((D35-F35)/D35)*100)</f>
        <v/>
      </c>
      <c r="N35" s="15" t="str">
        <f aca="false">IF(K35="","",K35/10000)</f>
        <v/>
      </c>
      <c r="O35" s="17" t="str">
        <f aca="false">IF(OR(N35="",L35=""),"",(N35/L35)*100)</f>
        <v/>
      </c>
      <c r="P35" s="7"/>
    </row>
    <row r="36" customFormat="false" ht="15.75" hidden="false" customHeight="true" outlineLevel="0" collapsed="false">
      <c r="A36" s="21" t="s">
        <v>88</v>
      </c>
      <c r="B36" s="22" t="n">
        <v>200</v>
      </c>
      <c r="C36" s="22" t="n">
        <v>2</v>
      </c>
      <c r="D36" s="14"/>
      <c r="E36" s="7"/>
      <c r="F36" s="14"/>
      <c r="G36" s="7"/>
      <c r="H36" s="27"/>
      <c r="I36" s="27"/>
      <c r="J36" s="14"/>
      <c r="K36" s="16" t="str">
        <f aca="false">IF(J36="","",J36*1000)</f>
        <v/>
      </c>
      <c r="L36" s="17" t="str">
        <f aca="false">IF(INDEX('1 - Mix Reference'!$H$4:$H$15,MATCH(A36,'1 - Mix Reference'!$A$4:$A$15,0))="","",INDEX('1 - Mix Reference'!$H$4:$H$15,MATCH(A36,'1 - Mix Reference'!$A$4:$A$15,0)))</f>
        <v/>
      </c>
      <c r="M36" s="15" t="str">
        <f aca="false">IF(OR(D36="",F36=""),"",((D36-F36)/D36)*100)</f>
        <v/>
      </c>
      <c r="N36" s="15" t="str">
        <f aca="false">IF(K36="","",K36/10000)</f>
        <v/>
      </c>
      <c r="O36" s="17" t="str">
        <f aca="false">IF(OR(N36="",L36=""),"",(N36/L36)*100)</f>
        <v/>
      </c>
      <c r="P36" s="7"/>
    </row>
    <row r="37" customFormat="false" ht="15.75" hidden="false" customHeight="true" outlineLevel="0" collapsed="false">
      <c r="A37" s="21" t="s">
        <v>88</v>
      </c>
      <c r="B37" s="22" t="n">
        <v>200</v>
      </c>
      <c r="C37" s="22" t="n">
        <v>3</v>
      </c>
      <c r="D37" s="14"/>
      <c r="E37" s="7"/>
      <c r="F37" s="14"/>
      <c r="G37" s="7"/>
      <c r="H37" s="27"/>
      <c r="I37" s="27"/>
      <c r="J37" s="14"/>
      <c r="K37" s="16" t="str">
        <f aca="false">IF(J37="","",J37*1000)</f>
        <v/>
      </c>
      <c r="L37" s="17" t="str">
        <f aca="false">IF(INDEX('1 - Mix Reference'!$H$4:$H$15,MATCH(A37,'1 - Mix Reference'!$A$4:$A$15,0))="","",INDEX('1 - Mix Reference'!$H$4:$H$15,MATCH(A37,'1 - Mix Reference'!$A$4:$A$15,0)))</f>
        <v/>
      </c>
      <c r="M37" s="15" t="str">
        <f aca="false">IF(OR(D37="",F37=""),"",((D37-F37)/D37)*100)</f>
        <v/>
      </c>
      <c r="N37" s="15" t="str">
        <f aca="false">IF(K37="","",K37/10000)</f>
        <v/>
      </c>
      <c r="O37" s="17" t="str">
        <f aca="false">IF(OR(N37="",L37=""),"",(N37/L37)*100)</f>
        <v/>
      </c>
      <c r="P37" s="7"/>
    </row>
    <row r="38" customFormat="false" ht="15.75" hidden="false" customHeight="true" outlineLevel="0" collapsed="false">
      <c r="A38" s="21" t="s">
        <v>89</v>
      </c>
      <c r="B38" s="22" t="n">
        <v>200</v>
      </c>
      <c r="C38" s="22" t="n">
        <v>1</v>
      </c>
      <c r="D38" s="14"/>
      <c r="E38" s="7"/>
      <c r="F38" s="14"/>
      <c r="G38" s="7"/>
      <c r="H38" s="27"/>
      <c r="I38" s="27"/>
      <c r="J38" s="14"/>
      <c r="K38" s="16" t="str">
        <f aca="false">IF(J38="","",J38*1000)</f>
        <v/>
      </c>
      <c r="L38" s="17" t="str">
        <f aca="false">IF(INDEX('1 - Mix Reference'!$H$4:$H$15,MATCH(A38,'1 - Mix Reference'!$A$4:$A$15,0))="","",INDEX('1 - Mix Reference'!$H$4:$H$15,MATCH(A38,'1 - Mix Reference'!$A$4:$A$15,0)))</f>
        <v/>
      </c>
      <c r="M38" s="15" t="str">
        <f aca="false">IF(OR(D38="",F38=""),"",((D38-F38)/D38)*100)</f>
        <v/>
      </c>
      <c r="N38" s="15" t="str">
        <f aca="false">IF(K38="","",K38/10000)</f>
        <v/>
      </c>
      <c r="O38" s="17" t="str">
        <f aca="false">IF(OR(N38="",L38=""),"",(N38/L38)*100)</f>
        <v/>
      </c>
      <c r="P38" s="7"/>
    </row>
    <row r="39" customFormat="false" ht="15.75" hidden="false" customHeight="true" outlineLevel="0" collapsed="false">
      <c r="A39" s="21" t="s">
        <v>89</v>
      </c>
      <c r="B39" s="22" t="n">
        <v>200</v>
      </c>
      <c r="C39" s="22" t="n">
        <v>2</v>
      </c>
      <c r="D39" s="14"/>
      <c r="E39" s="7"/>
      <c r="F39" s="14"/>
      <c r="G39" s="7"/>
      <c r="H39" s="27"/>
      <c r="I39" s="27"/>
      <c r="J39" s="14"/>
      <c r="K39" s="16" t="str">
        <f aca="false">IF(J39="","",J39*1000)</f>
        <v/>
      </c>
      <c r="L39" s="17" t="str">
        <f aca="false">IF(INDEX('1 - Mix Reference'!$H$4:$H$15,MATCH(A39,'1 - Mix Reference'!$A$4:$A$15,0))="","",INDEX('1 - Mix Reference'!$H$4:$H$15,MATCH(A39,'1 - Mix Reference'!$A$4:$A$15,0)))</f>
        <v/>
      </c>
      <c r="M39" s="15" t="str">
        <f aca="false">IF(OR(D39="",F39=""),"",((D39-F39)/D39)*100)</f>
        <v/>
      </c>
      <c r="N39" s="15" t="str">
        <f aca="false">IF(K39="","",K39/10000)</f>
        <v/>
      </c>
      <c r="O39" s="17" t="str">
        <f aca="false">IF(OR(N39="",L39=""),"",(N39/L39)*100)</f>
        <v/>
      </c>
      <c r="P39" s="7"/>
    </row>
    <row r="40" customFormat="false" ht="15.75" hidden="false" customHeight="true" outlineLevel="0" collapsed="false">
      <c r="A40" s="21" t="s">
        <v>89</v>
      </c>
      <c r="B40" s="22" t="n">
        <v>200</v>
      </c>
      <c r="C40" s="22" t="n">
        <v>3</v>
      </c>
      <c r="D40" s="14"/>
      <c r="E40" s="7"/>
      <c r="F40" s="14"/>
      <c r="G40" s="7"/>
      <c r="H40" s="27"/>
      <c r="I40" s="27"/>
      <c r="J40" s="14"/>
      <c r="K40" s="16" t="str">
        <f aca="false">IF(J40="","",J40*1000)</f>
        <v/>
      </c>
      <c r="L40" s="17" t="str">
        <f aca="false">IF(INDEX('1 - Mix Reference'!$H$4:$H$15,MATCH(A40,'1 - Mix Reference'!$A$4:$A$15,0))="","",INDEX('1 - Mix Reference'!$H$4:$H$15,MATCH(A40,'1 - Mix Reference'!$A$4:$A$15,0)))</f>
        <v/>
      </c>
      <c r="M40" s="15" t="str">
        <f aca="false">IF(OR(D40="",F40=""),"",((D40-F40)/D40)*100)</f>
        <v/>
      </c>
      <c r="N40" s="15" t="str">
        <f aca="false">IF(K40="","",K40/10000)</f>
        <v/>
      </c>
      <c r="O40" s="17" t="str">
        <f aca="false">IF(OR(N40="",L40=""),"",(N40/L40)*100)</f>
        <v/>
      </c>
      <c r="P40" s="7"/>
    </row>
    <row r="41" customFormat="false" ht="15.75" hidden="false" customHeight="true" outlineLevel="0" collapsed="false">
      <c r="A41" s="21" t="s">
        <v>70</v>
      </c>
      <c r="B41" s="22" t="n">
        <v>400</v>
      </c>
      <c r="C41" s="22" t="n">
        <v>1</v>
      </c>
      <c r="D41" s="14"/>
      <c r="E41" s="7"/>
      <c r="F41" s="14"/>
      <c r="G41" s="7"/>
      <c r="H41" s="27"/>
      <c r="I41" s="27"/>
      <c r="J41" s="14"/>
      <c r="K41" s="16" t="str">
        <f aca="false">IF(J41="","",J41*1000)</f>
        <v/>
      </c>
      <c r="L41" s="17" t="str">
        <f aca="false">IF(INDEX('1 - Mix Reference'!$H$4:$H$15,MATCH(A41,'1 - Mix Reference'!$A$4:$A$15,0))="","",INDEX('1 - Mix Reference'!$H$4:$H$15,MATCH(A41,'1 - Mix Reference'!$A$4:$A$15,0)))</f>
        <v/>
      </c>
      <c r="M41" s="15" t="str">
        <f aca="false">IF(OR(D41="",F41=""),"",((D41-F41)/D41)*100)</f>
        <v/>
      </c>
      <c r="N41" s="15" t="str">
        <f aca="false">IF(K41="","",K41/10000)</f>
        <v/>
      </c>
      <c r="O41" s="17" t="str">
        <f aca="false">IF(OR(N41="",L41=""),"",(N41/L41)*100)</f>
        <v/>
      </c>
      <c r="P41" s="7"/>
    </row>
    <row r="42" customFormat="false" ht="15.75" hidden="false" customHeight="true" outlineLevel="0" collapsed="false">
      <c r="A42" s="21" t="s">
        <v>70</v>
      </c>
      <c r="B42" s="22" t="n">
        <v>400</v>
      </c>
      <c r="C42" s="22" t="n">
        <v>2</v>
      </c>
      <c r="D42" s="14"/>
      <c r="E42" s="7"/>
      <c r="F42" s="14"/>
      <c r="G42" s="7"/>
      <c r="H42" s="27"/>
      <c r="I42" s="27"/>
      <c r="J42" s="14"/>
      <c r="K42" s="16" t="str">
        <f aca="false">IF(J42="","",J42*1000)</f>
        <v/>
      </c>
      <c r="L42" s="17" t="str">
        <f aca="false">IF(INDEX('1 - Mix Reference'!$H$4:$H$15,MATCH(A42,'1 - Mix Reference'!$A$4:$A$15,0))="","",INDEX('1 - Mix Reference'!$H$4:$H$15,MATCH(A42,'1 - Mix Reference'!$A$4:$A$15,0)))</f>
        <v/>
      </c>
      <c r="M42" s="15" t="str">
        <f aca="false">IF(OR(D42="",F42=""),"",((D42-F42)/D42)*100)</f>
        <v/>
      </c>
      <c r="N42" s="15" t="str">
        <f aca="false">IF(K42="","",K42/10000)</f>
        <v/>
      </c>
      <c r="O42" s="17" t="str">
        <f aca="false">IF(OR(N42="",L42=""),"",(N42/L42)*100)</f>
        <v/>
      </c>
      <c r="P42" s="7"/>
    </row>
    <row r="43" customFormat="false" ht="15.75" hidden="false" customHeight="true" outlineLevel="0" collapsed="false">
      <c r="A43" s="21" t="s">
        <v>70</v>
      </c>
      <c r="B43" s="22" t="n">
        <v>400</v>
      </c>
      <c r="C43" s="22" t="n">
        <v>3</v>
      </c>
      <c r="D43" s="14"/>
      <c r="E43" s="7"/>
      <c r="F43" s="14"/>
      <c r="G43" s="7"/>
      <c r="H43" s="27"/>
      <c r="I43" s="27"/>
      <c r="J43" s="14"/>
      <c r="K43" s="16" t="str">
        <f aca="false">IF(J43="","",J43*1000)</f>
        <v/>
      </c>
      <c r="L43" s="17" t="str">
        <f aca="false">IF(INDEX('1 - Mix Reference'!$H$4:$H$15,MATCH(A43,'1 - Mix Reference'!$A$4:$A$15,0))="","",INDEX('1 - Mix Reference'!$H$4:$H$15,MATCH(A43,'1 - Mix Reference'!$A$4:$A$15,0)))</f>
        <v/>
      </c>
      <c r="M43" s="15" t="str">
        <f aca="false">IF(OR(D43="",F43=""),"",((D43-F43)/D43)*100)</f>
        <v/>
      </c>
      <c r="N43" s="15" t="str">
        <f aca="false">IF(K43="","",K43/10000)</f>
        <v/>
      </c>
      <c r="O43" s="17" t="str">
        <f aca="false">IF(OR(N43="",L43=""),"",(N43/L43)*100)</f>
        <v/>
      </c>
      <c r="P43" s="7"/>
    </row>
    <row r="44" customFormat="false" ht="15.75" hidden="false" customHeight="true" outlineLevel="0" collapsed="false">
      <c r="A44" s="21" t="s">
        <v>74</v>
      </c>
      <c r="B44" s="22" t="n">
        <v>400</v>
      </c>
      <c r="C44" s="22" t="n">
        <v>1</v>
      </c>
      <c r="D44" s="14"/>
      <c r="E44" s="7"/>
      <c r="F44" s="14"/>
      <c r="G44" s="7"/>
      <c r="H44" s="27"/>
      <c r="I44" s="27"/>
      <c r="J44" s="14"/>
      <c r="K44" s="16" t="str">
        <f aca="false">IF(J44="","",J44*1000)</f>
        <v/>
      </c>
      <c r="L44" s="17" t="str">
        <f aca="false">IF(INDEX('1 - Mix Reference'!$H$4:$H$15,MATCH(A44,'1 - Mix Reference'!$A$4:$A$15,0))="","",INDEX('1 - Mix Reference'!$H$4:$H$15,MATCH(A44,'1 - Mix Reference'!$A$4:$A$15,0)))</f>
        <v/>
      </c>
      <c r="M44" s="15" t="str">
        <f aca="false">IF(OR(D44="",F44=""),"",((D44-F44)/D44)*100)</f>
        <v/>
      </c>
      <c r="N44" s="15" t="str">
        <f aca="false">IF(K44="","",K44/10000)</f>
        <v/>
      </c>
      <c r="O44" s="17" t="str">
        <f aca="false">IF(OR(N44="",L44=""),"",(N44/L44)*100)</f>
        <v/>
      </c>
      <c r="P44" s="7"/>
    </row>
    <row r="45" customFormat="false" ht="15.75" hidden="false" customHeight="true" outlineLevel="0" collapsed="false">
      <c r="A45" s="21" t="s">
        <v>74</v>
      </c>
      <c r="B45" s="22" t="n">
        <v>400</v>
      </c>
      <c r="C45" s="22" t="n">
        <v>2</v>
      </c>
      <c r="D45" s="14"/>
      <c r="E45" s="7"/>
      <c r="F45" s="14"/>
      <c r="G45" s="7"/>
      <c r="H45" s="27"/>
      <c r="I45" s="27"/>
      <c r="J45" s="14"/>
      <c r="K45" s="16" t="str">
        <f aca="false">IF(J45="","",J45*1000)</f>
        <v/>
      </c>
      <c r="L45" s="17" t="str">
        <f aca="false">IF(INDEX('1 - Mix Reference'!$H$4:$H$15,MATCH(A45,'1 - Mix Reference'!$A$4:$A$15,0))="","",INDEX('1 - Mix Reference'!$H$4:$H$15,MATCH(A45,'1 - Mix Reference'!$A$4:$A$15,0)))</f>
        <v/>
      </c>
      <c r="M45" s="15" t="str">
        <f aca="false">IF(OR(D45="",F45=""),"",((D45-F45)/D45)*100)</f>
        <v/>
      </c>
      <c r="N45" s="15" t="str">
        <f aca="false">IF(K45="","",K45/10000)</f>
        <v/>
      </c>
      <c r="O45" s="17" t="str">
        <f aca="false">IF(OR(N45="",L45=""),"",(N45/L45)*100)</f>
        <v/>
      </c>
      <c r="P45" s="7"/>
    </row>
    <row r="46" customFormat="false" ht="15.75" hidden="false" customHeight="true" outlineLevel="0" collapsed="false">
      <c r="A46" s="21" t="s">
        <v>74</v>
      </c>
      <c r="B46" s="22" t="n">
        <v>400</v>
      </c>
      <c r="C46" s="22" t="n">
        <v>3</v>
      </c>
      <c r="D46" s="14"/>
      <c r="E46" s="7"/>
      <c r="F46" s="14"/>
      <c r="G46" s="7"/>
      <c r="H46" s="27"/>
      <c r="I46" s="27"/>
      <c r="J46" s="14"/>
      <c r="K46" s="16" t="str">
        <f aca="false">IF(J46="","",J46*1000)</f>
        <v/>
      </c>
      <c r="L46" s="17" t="str">
        <f aca="false">IF(INDEX('1 - Mix Reference'!$H$4:$H$15,MATCH(A46,'1 - Mix Reference'!$A$4:$A$15,0))="","",INDEX('1 - Mix Reference'!$H$4:$H$15,MATCH(A46,'1 - Mix Reference'!$A$4:$A$15,0)))</f>
        <v/>
      </c>
      <c r="M46" s="15" t="str">
        <f aca="false">IF(OR(D46="",F46=""),"",((D46-F46)/D46)*100)</f>
        <v/>
      </c>
      <c r="N46" s="15" t="str">
        <f aca="false">IF(K46="","",K46/10000)</f>
        <v/>
      </c>
      <c r="O46" s="17" t="str">
        <f aca="false">IF(OR(N46="",L46=""),"",(N46/L46)*100)</f>
        <v/>
      </c>
      <c r="P46" s="7"/>
    </row>
    <row r="47" customFormat="false" ht="15.75" hidden="false" customHeight="true" outlineLevel="0" collapsed="false">
      <c r="A47" s="21" t="s">
        <v>76</v>
      </c>
      <c r="B47" s="22" t="n">
        <v>400</v>
      </c>
      <c r="C47" s="22" t="n">
        <v>1</v>
      </c>
      <c r="D47" s="14"/>
      <c r="E47" s="7"/>
      <c r="F47" s="14"/>
      <c r="G47" s="7"/>
      <c r="H47" s="27"/>
      <c r="I47" s="27"/>
      <c r="J47" s="14"/>
      <c r="K47" s="16" t="str">
        <f aca="false">IF(J47="","",J47*1000)</f>
        <v/>
      </c>
      <c r="L47" s="17" t="str">
        <f aca="false">IF(INDEX('1 - Mix Reference'!$H$4:$H$15,MATCH(A47,'1 - Mix Reference'!$A$4:$A$15,0))="","",INDEX('1 - Mix Reference'!$H$4:$H$15,MATCH(A47,'1 - Mix Reference'!$A$4:$A$15,0)))</f>
        <v/>
      </c>
      <c r="M47" s="15" t="str">
        <f aca="false">IF(OR(D47="",F47=""),"",((D47-F47)/D47)*100)</f>
        <v/>
      </c>
      <c r="N47" s="15" t="str">
        <f aca="false">IF(K47="","",K47/10000)</f>
        <v/>
      </c>
      <c r="O47" s="17" t="str">
        <f aca="false">IF(OR(N47="",L47=""),"",(N47/L47)*100)</f>
        <v/>
      </c>
      <c r="P47" s="7"/>
    </row>
    <row r="48" customFormat="false" ht="15.75" hidden="false" customHeight="true" outlineLevel="0" collapsed="false">
      <c r="A48" s="21" t="s">
        <v>76</v>
      </c>
      <c r="B48" s="22" t="n">
        <v>400</v>
      </c>
      <c r="C48" s="22" t="n">
        <v>2</v>
      </c>
      <c r="D48" s="14"/>
      <c r="E48" s="7"/>
      <c r="F48" s="14"/>
      <c r="G48" s="7"/>
      <c r="H48" s="27"/>
      <c r="I48" s="27"/>
      <c r="J48" s="14"/>
      <c r="K48" s="16" t="str">
        <f aca="false">IF(J48="","",J48*1000)</f>
        <v/>
      </c>
      <c r="L48" s="17" t="str">
        <f aca="false">IF(INDEX('1 - Mix Reference'!$H$4:$H$15,MATCH(A48,'1 - Mix Reference'!$A$4:$A$15,0))="","",INDEX('1 - Mix Reference'!$H$4:$H$15,MATCH(A48,'1 - Mix Reference'!$A$4:$A$15,0)))</f>
        <v/>
      </c>
      <c r="M48" s="15" t="str">
        <f aca="false">IF(OR(D48="",F48=""),"",((D48-F48)/D48)*100)</f>
        <v/>
      </c>
      <c r="N48" s="15" t="str">
        <f aca="false">IF(K48="","",K48/10000)</f>
        <v/>
      </c>
      <c r="O48" s="17" t="str">
        <f aca="false">IF(OR(N48="",L48=""),"",(N48/L48)*100)</f>
        <v/>
      </c>
      <c r="P48" s="7"/>
    </row>
    <row r="49" customFormat="false" ht="15.75" hidden="false" customHeight="true" outlineLevel="0" collapsed="false">
      <c r="A49" s="21" t="s">
        <v>76</v>
      </c>
      <c r="B49" s="22" t="n">
        <v>400</v>
      </c>
      <c r="C49" s="22" t="n">
        <v>3</v>
      </c>
      <c r="D49" s="14"/>
      <c r="E49" s="7"/>
      <c r="F49" s="14"/>
      <c r="G49" s="7"/>
      <c r="H49" s="27"/>
      <c r="I49" s="27"/>
      <c r="J49" s="14"/>
      <c r="K49" s="16" t="str">
        <f aca="false">IF(J49="","",J49*1000)</f>
        <v/>
      </c>
      <c r="L49" s="17" t="str">
        <f aca="false">IF(INDEX('1 - Mix Reference'!$H$4:$H$15,MATCH(A49,'1 - Mix Reference'!$A$4:$A$15,0))="","",INDEX('1 - Mix Reference'!$H$4:$H$15,MATCH(A49,'1 - Mix Reference'!$A$4:$A$15,0)))</f>
        <v/>
      </c>
      <c r="M49" s="15" t="str">
        <f aca="false">IF(OR(D49="",F49=""),"",((D49-F49)/D49)*100)</f>
        <v/>
      </c>
      <c r="N49" s="15" t="str">
        <f aca="false">IF(K49="","",K49/10000)</f>
        <v/>
      </c>
      <c r="O49" s="17" t="str">
        <f aca="false">IF(OR(N49="",L49=""),"",(N49/L49)*100)</f>
        <v/>
      </c>
      <c r="P49" s="7"/>
    </row>
    <row r="50" customFormat="false" ht="15.75" hidden="false" customHeight="true" outlineLevel="0" collapsed="false">
      <c r="A50" s="21" t="s">
        <v>77</v>
      </c>
      <c r="B50" s="22" t="n">
        <v>400</v>
      </c>
      <c r="C50" s="22" t="n">
        <v>1</v>
      </c>
      <c r="D50" s="14"/>
      <c r="E50" s="7"/>
      <c r="F50" s="14"/>
      <c r="G50" s="7"/>
      <c r="H50" s="27"/>
      <c r="I50" s="27"/>
      <c r="J50" s="14"/>
      <c r="K50" s="16" t="str">
        <f aca="false">IF(J50="","",J50*1000)</f>
        <v/>
      </c>
      <c r="L50" s="17" t="str">
        <f aca="false">IF(INDEX('1 - Mix Reference'!$H$4:$H$15,MATCH(A50,'1 - Mix Reference'!$A$4:$A$15,0))="","",INDEX('1 - Mix Reference'!$H$4:$H$15,MATCH(A50,'1 - Mix Reference'!$A$4:$A$15,0)))</f>
        <v/>
      </c>
      <c r="M50" s="15" t="str">
        <f aca="false">IF(OR(D50="",F50=""),"",((D50-F50)/D50)*100)</f>
        <v/>
      </c>
      <c r="N50" s="15" t="str">
        <f aca="false">IF(K50="","",K50/10000)</f>
        <v/>
      </c>
      <c r="O50" s="17" t="str">
        <f aca="false">IF(OR(N50="",L50=""),"",(N50/L50)*100)</f>
        <v/>
      </c>
      <c r="P50" s="7"/>
    </row>
    <row r="51" customFormat="false" ht="15.75" hidden="false" customHeight="true" outlineLevel="0" collapsed="false">
      <c r="A51" s="21" t="s">
        <v>77</v>
      </c>
      <c r="B51" s="22" t="n">
        <v>400</v>
      </c>
      <c r="C51" s="22" t="n">
        <v>2</v>
      </c>
      <c r="D51" s="14"/>
      <c r="E51" s="7"/>
      <c r="F51" s="14"/>
      <c r="G51" s="7"/>
      <c r="H51" s="27"/>
      <c r="I51" s="27"/>
      <c r="J51" s="14"/>
      <c r="K51" s="16" t="str">
        <f aca="false">IF(J51="","",J51*1000)</f>
        <v/>
      </c>
      <c r="L51" s="17" t="str">
        <f aca="false">IF(INDEX('1 - Mix Reference'!$H$4:$H$15,MATCH(A51,'1 - Mix Reference'!$A$4:$A$15,0))="","",INDEX('1 - Mix Reference'!$H$4:$H$15,MATCH(A51,'1 - Mix Reference'!$A$4:$A$15,0)))</f>
        <v/>
      </c>
      <c r="M51" s="15" t="str">
        <f aca="false">IF(OR(D51="",F51=""),"",((D51-F51)/D51)*100)</f>
        <v/>
      </c>
      <c r="N51" s="15" t="str">
        <f aca="false">IF(K51="","",K51/10000)</f>
        <v/>
      </c>
      <c r="O51" s="17" t="str">
        <f aca="false">IF(OR(N51="",L51=""),"",(N51/L51)*100)</f>
        <v/>
      </c>
      <c r="P51" s="7"/>
    </row>
    <row r="52" customFormat="false" ht="15.75" hidden="false" customHeight="true" outlineLevel="0" collapsed="false">
      <c r="A52" s="21" t="s">
        <v>77</v>
      </c>
      <c r="B52" s="22" t="n">
        <v>400</v>
      </c>
      <c r="C52" s="22" t="n">
        <v>3</v>
      </c>
      <c r="D52" s="14"/>
      <c r="E52" s="7"/>
      <c r="F52" s="14"/>
      <c r="G52" s="7"/>
      <c r="H52" s="27"/>
      <c r="I52" s="27"/>
      <c r="J52" s="14"/>
      <c r="K52" s="16" t="str">
        <f aca="false">IF(J52="","",J52*1000)</f>
        <v/>
      </c>
      <c r="L52" s="17" t="str">
        <f aca="false">IF(INDEX('1 - Mix Reference'!$H$4:$H$15,MATCH(A52,'1 - Mix Reference'!$A$4:$A$15,0))="","",INDEX('1 - Mix Reference'!$H$4:$H$15,MATCH(A52,'1 - Mix Reference'!$A$4:$A$15,0)))</f>
        <v/>
      </c>
      <c r="M52" s="15" t="str">
        <f aca="false">IF(OR(D52="",F52=""),"",((D52-F52)/D52)*100)</f>
        <v/>
      </c>
      <c r="N52" s="15" t="str">
        <f aca="false">IF(K52="","",K52/10000)</f>
        <v/>
      </c>
      <c r="O52" s="17" t="str">
        <f aca="false">IF(OR(N52="",L52=""),"",(N52/L52)*100)</f>
        <v/>
      </c>
      <c r="P52" s="7"/>
    </row>
    <row r="53" customFormat="false" ht="15.75" hidden="false" customHeight="true" outlineLevel="0" collapsed="false">
      <c r="A53" s="21" t="s">
        <v>78</v>
      </c>
      <c r="B53" s="22" t="n">
        <v>400</v>
      </c>
      <c r="C53" s="22" t="n">
        <v>1</v>
      </c>
      <c r="D53" s="14"/>
      <c r="E53" s="7"/>
      <c r="F53" s="14"/>
      <c r="G53" s="7"/>
      <c r="H53" s="27"/>
      <c r="I53" s="27"/>
      <c r="J53" s="14"/>
      <c r="K53" s="16" t="str">
        <f aca="false">IF(J53="","",J53*1000)</f>
        <v/>
      </c>
      <c r="L53" s="17" t="str">
        <f aca="false">IF(INDEX('1 - Mix Reference'!$H$4:$H$15,MATCH(A53,'1 - Mix Reference'!$A$4:$A$15,0))="","",INDEX('1 - Mix Reference'!$H$4:$H$15,MATCH(A53,'1 - Mix Reference'!$A$4:$A$15,0)))</f>
        <v/>
      </c>
      <c r="M53" s="15" t="str">
        <f aca="false">IF(OR(D53="",F53=""),"",((D53-F53)/D53)*100)</f>
        <v/>
      </c>
      <c r="N53" s="15" t="str">
        <f aca="false">IF(K53="","",K53/10000)</f>
        <v/>
      </c>
      <c r="O53" s="17" t="str">
        <f aca="false">IF(OR(N53="",L53=""),"",(N53/L53)*100)</f>
        <v/>
      </c>
      <c r="P53" s="7"/>
    </row>
    <row r="54" customFormat="false" ht="15.75" hidden="false" customHeight="true" outlineLevel="0" collapsed="false">
      <c r="A54" s="21" t="s">
        <v>78</v>
      </c>
      <c r="B54" s="22" t="n">
        <v>400</v>
      </c>
      <c r="C54" s="22" t="n">
        <v>2</v>
      </c>
      <c r="D54" s="14"/>
      <c r="E54" s="7"/>
      <c r="F54" s="14"/>
      <c r="G54" s="7"/>
      <c r="H54" s="27"/>
      <c r="I54" s="27"/>
      <c r="J54" s="14"/>
      <c r="K54" s="16" t="str">
        <f aca="false">IF(J54="","",J54*1000)</f>
        <v/>
      </c>
      <c r="L54" s="17" t="str">
        <f aca="false">IF(INDEX('1 - Mix Reference'!$H$4:$H$15,MATCH(A54,'1 - Mix Reference'!$A$4:$A$15,0))="","",INDEX('1 - Mix Reference'!$H$4:$H$15,MATCH(A54,'1 - Mix Reference'!$A$4:$A$15,0)))</f>
        <v/>
      </c>
      <c r="M54" s="15" t="str">
        <f aca="false">IF(OR(D54="",F54=""),"",((D54-F54)/D54)*100)</f>
        <v/>
      </c>
      <c r="N54" s="15" t="str">
        <f aca="false">IF(K54="","",K54/10000)</f>
        <v/>
      </c>
      <c r="O54" s="17" t="str">
        <f aca="false">IF(OR(N54="",L54=""),"",(N54/L54)*100)</f>
        <v/>
      </c>
      <c r="P54" s="7"/>
    </row>
    <row r="55" customFormat="false" ht="15.75" hidden="false" customHeight="true" outlineLevel="0" collapsed="false">
      <c r="A55" s="21" t="s">
        <v>78</v>
      </c>
      <c r="B55" s="22" t="n">
        <v>400</v>
      </c>
      <c r="C55" s="22" t="n">
        <v>3</v>
      </c>
      <c r="D55" s="14"/>
      <c r="E55" s="7"/>
      <c r="F55" s="14"/>
      <c r="G55" s="7"/>
      <c r="H55" s="27"/>
      <c r="I55" s="27"/>
      <c r="J55" s="14"/>
      <c r="K55" s="16" t="str">
        <f aca="false">IF(J55="","",J55*1000)</f>
        <v/>
      </c>
      <c r="L55" s="17" t="str">
        <f aca="false">IF(INDEX('1 - Mix Reference'!$H$4:$H$15,MATCH(A55,'1 - Mix Reference'!$A$4:$A$15,0))="","",INDEX('1 - Mix Reference'!$H$4:$H$15,MATCH(A55,'1 - Mix Reference'!$A$4:$A$15,0)))</f>
        <v/>
      </c>
      <c r="M55" s="15" t="str">
        <f aca="false">IF(OR(D55="",F55=""),"",((D55-F55)/D55)*100)</f>
        <v/>
      </c>
      <c r="N55" s="15" t="str">
        <f aca="false">IF(K55="","",K55/10000)</f>
        <v/>
      </c>
      <c r="O55" s="17" t="str">
        <f aca="false">IF(OR(N55="",L55=""),"",(N55/L55)*100)</f>
        <v/>
      </c>
      <c r="P55" s="7"/>
    </row>
    <row r="56" customFormat="false" ht="15.75" hidden="false" customHeight="true" outlineLevel="0" collapsed="false">
      <c r="A56" s="21" t="s">
        <v>79</v>
      </c>
      <c r="B56" s="22" t="n">
        <v>400</v>
      </c>
      <c r="C56" s="22" t="n">
        <v>1</v>
      </c>
      <c r="D56" s="14"/>
      <c r="E56" s="7"/>
      <c r="F56" s="14"/>
      <c r="G56" s="7"/>
      <c r="H56" s="27"/>
      <c r="I56" s="27"/>
      <c r="J56" s="14"/>
      <c r="K56" s="16" t="str">
        <f aca="false">IF(J56="","",J56*1000)</f>
        <v/>
      </c>
      <c r="L56" s="17" t="str">
        <f aca="false">IF(INDEX('1 - Mix Reference'!$H$4:$H$15,MATCH(A56,'1 - Mix Reference'!$A$4:$A$15,0))="","",INDEX('1 - Mix Reference'!$H$4:$H$15,MATCH(A56,'1 - Mix Reference'!$A$4:$A$15,0)))</f>
        <v/>
      </c>
      <c r="M56" s="15" t="str">
        <f aca="false">IF(OR(D56="",F56=""),"",((D56-F56)/D56)*100)</f>
        <v/>
      </c>
      <c r="N56" s="15" t="str">
        <f aca="false">IF(K56="","",K56/10000)</f>
        <v/>
      </c>
      <c r="O56" s="17" t="str">
        <f aca="false">IF(OR(N56="",L56=""),"",(N56/L56)*100)</f>
        <v/>
      </c>
      <c r="P56" s="7"/>
    </row>
    <row r="57" customFormat="false" ht="15.75" hidden="false" customHeight="true" outlineLevel="0" collapsed="false">
      <c r="A57" s="21" t="s">
        <v>79</v>
      </c>
      <c r="B57" s="22" t="n">
        <v>400</v>
      </c>
      <c r="C57" s="22" t="n">
        <v>2</v>
      </c>
      <c r="D57" s="14"/>
      <c r="E57" s="7"/>
      <c r="F57" s="14"/>
      <c r="G57" s="7"/>
      <c r="H57" s="27"/>
      <c r="I57" s="27"/>
      <c r="J57" s="14"/>
      <c r="K57" s="16" t="str">
        <f aca="false">IF(J57="","",J57*1000)</f>
        <v/>
      </c>
      <c r="L57" s="17" t="str">
        <f aca="false">IF(INDEX('1 - Mix Reference'!$H$4:$H$15,MATCH(A57,'1 - Mix Reference'!$A$4:$A$15,0))="","",INDEX('1 - Mix Reference'!$H$4:$H$15,MATCH(A57,'1 - Mix Reference'!$A$4:$A$15,0)))</f>
        <v/>
      </c>
      <c r="M57" s="15" t="str">
        <f aca="false">IF(OR(D57="",F57=""),"",((D57-F57)/D57)*100)</f>
        <v/>
      </c>
      <c r="N57" s="15" t="str">
        <f aca="false">IF(K57="","",K57/10000)</f>
        <v/>
      </c>
      <c r="O57" s="17" t="str">
        <f aca="false">IF(OR(N57="",L57=""),"",(N57/L57)*100)</f>
        <v/>
      </c>
      <c r="P57" s="7"/>
    </row>
    <row r="58" customFormat="false" ht="15.75" hidden="false" customHeight="true" outlineLevel="0" collapsed="false">
      <c r="A58" s="21" t="s">
        <v>79</v>
      </c>
      <c r="B58" s="22" t="n">
        <v>400</v>
      </c>
      <c r="C58" s="22" t="n">
        <v>3</v>
      </c>
      <c r="D58" s="14"/>
      <c r="E58" s="7"/>
      <c r="F58" s="14"/>
      <c r="G58" s="7"/>
      <c r="H58" s="27"/>
      <c r="I58" s="27"/>
      <c r="J58" s="14"/>
      <c r="K58" s="16" t="str">
        <f aca="false">IF(J58="","",J58*1000)</f>
        <v/>
      </c>
      <c r="L58" s="17" t="str">
        <f aca="false">IF(INDEX('1 - Mix Reference'!$H$4:$H$15,MATCH(A58,'1 - Mix Reference'!$A$4:$A$15,0))="","",INDEX('1 - Mix Reference'!$H$4:$H$15,MATCH(A58,'1 - Mix Reference'!$A$4:$A$15,0)))</f>
        <v/>
      </c>
      <c r="M58" s="15" t="str">
        <f aca="false">IF(OR(D58="",F58=""),"",((D58-F58)/D58)*100)</f>
        <v/>
      </c>
      <c r="N58" s="15" t="str">
        <f aca="false">IF(K58="","",K58/10000)</f>
        <v/>
      </c>
      <c r="O58" s="17" t="str">
        <f aca="false">IF(OR(N58="",L58=""),"",(N58/L58)*100)</f>
        <v/>
      </c>
      <c r="P58" s="7"/>
    </row>
    <row r="59" customFormat="false" ht="15.75" hidden="false" customHeight="true" outlineLevel="0" collapsed="false">
      <c r="A59" s="21" t="s">
        <v>81</v>
      </c>
      <c r="B59" s="22" t="n">
        <v>400</v>
      </c>
      <c r="C59" s="22" t="n">
        <v>1</v>
      </c>
      <c r="D59" s="14"/>
      <c r="E59" s="7"/>
      <c r="F59" s="14"/>
      <c r="G59" s="7"/>
      <c r="H59" s="27"/>
      <c r="I59" s="27"/>
      <c r="J59" s="14"/>
      <c r="K59" s="16" t="str">
        <f aca="false">IF(J59="","",J59*1000)</f>
        <v/>
      </c>
      <c r="L59" s="17" t="str">
        <f aca="false">IF(INDEX('1 - Mix Reference'!$H$4:$H$15,MATCH(A59,'1 - Mix Reference'!$A$4:$A$15,0))="","",INDEX('1 - Mix Reference'!$H$4:$H$15,MATCH(A59,'1 - Mix Reference'!$A$4:$A$15,0)))</f>
        <v/>
      </c>
      <c r="M59" s="15" t="str">
        <f aca="false">IF(OR(D59="",F59=""),"",((D59-F59)/D59)*100)</f>
        <v/>
      </c>
      <c r="N59" s="15" t="str">
        <f aca="false">IF(K59="","",K59/10000)</f>
        <v/>
      </c>
      <c r="O59" s="17" t="str">
        <f aca="false">IF(OR(N59="",L59=""),"",(N59/L59)*100)</f>
        <v/>
      </c>
      <c r="P59" s="7"/>
    </row>
    <row r="60" customFormat="false" ht="15.75" hidden="false" customHeight="true" outlineLevel="0" collapsed="false">
      <c r="A60" s="21" t="s">
        <v>81</v>
      </c>
      <c r="B60" s="22" t="n">
        <v>400</v>
      </c>
      <c r="C60" s="22" t="n">
        <v>2</v>
      </c>
      <c r="D60" s="14"/>
      <c r="E60" s="7"/>
      <c r="F60" s="14"/>
      <c r="G60" s="7"/>
      <c r="H60" s="27"/>
      <c r="I60" s="27"/>
      <c r="J60" s="14"/>
      <c r="K60" s="16" t="str">
        <f aca="false">IF(J60="","",J60*1000)</f>
        <v/>
      </c>
      <c r="L60" s="17" t="str">
        <f aca="false">IF(INDEX('1 - Mix Reference'!$H$4:$H$15,MATCH(A60,'1 - Mix Reference'!$A$4:$A$15,0))="","",INDEX('1 - Mix Reference'!$H$4:$H$15,MATCH(A60,'1 - Mix Reference'!$A$4:$A$15,0)))</f>
        <v/>
      </c>
      <c r="M60" s="15" t="str">
        <f aca="false">IF(OR(D60="",F60=""),"",((D60-F60)/D60)*100)</f>
        <v/>
      </c>
      <c r="N60" s="15" t="str">
        <f aca="false">IF(K60="","",K60/10000)</f>
        <v/>
      </c>
      <c r="O60" s="17" t="str">
        <f aca="false">IF(OR(N60="",L60=""),"",(N60/L60)*100)</f>
        <v/>
      </c>
      <c r="P60" s="7"/>
    </row>
    <row r="61" customFormat="false" ht="15.75" hidden="false" customHeight="true" outlineLevel="0" collapsed="false">
      <c r="A61" s="21" t="s">
        <v>81</v>
      </c>
      <c r="B61" s="22" t="n">
        <v>400</v>
      </c>
      <c r="C61" s="22" t="n">
        <v>3</v>
      </c>
      <c r="D61" s="14"/>
      <c r="E61" s="7"/>
      <c r="F61" s="14"/>
      <c r="G61" s="7"/>
      <c r="H61" s="27"/>
      <c r="I61" s="27"/>
      <c r="J61" s="14"/>
      <c r="K61" s="16" t="str">
        <f aca="false">IF(J61="","",J61*1000)</f>
        <v/>
      </c>
      <c r="L61" s="17" t="str">
        <f aca="false">IF(INDEX('1 - Mix Reference'!$H$4:$H$15,MATCH(A61,'1 - Mix Reference'!$A$4:$A$15,0))="","",INDEX('1 - Mix Reference'!$H$4:$H$15,MATCH(A61,'1 - Mix Reference'!$A$4:$A$15,0)))</f>
        <v/>
      </c>
      <c r="M61" s="15" t="str">
        <f aca="false">IF(OR(D61="",F61=""),"",((D61-F61)/D61)*100)</f>
        <v/>
      </c>
      <c r="N61" s="15" t="str">
        <f aca="false">IF(K61="","",K61/10000)</f>
        <v/>
      </c>
      <c r="O61" s="17" t="str">
        <f aca="false">IF(OR(N61="",L61=""),"",(N61/L61)*100)</f>
        <v/>
      </c>
      <c r="P61" s="7"/>
    </row>
    <row r="62" customFormat="false" ht="15.75" hidden="false" customHeight="true" outlineLevel="0" collapsed="false">
      <c r="A62" s="21" t="s">
        <v>83</v>
      </c>
      <c r="B62" s="22" t="n">
        <v>400</v>
      </c>
      <c r="C62" s="22" t="n">
        <v>1</v>
      </c>
      <c r="D62" s="14"/>
      <c r="E62" s="7"/>
      <c r="F62" s="14"/>
      <c r="G62" s="7"/>
      <c r="H62" s="27"/>
      <c r="I62" s="27"/>
      <c r="J62" s="14"/>
      <c r="K62" s="16" t="str">
        <f aca="false">IF(J62="","",J62*1000)</f>
        <v/>
      </c>
      <c r="L62" s="17" t="str">
        <f aca="false">IF(INDEX('1 - Mix Reference'!$H$4:$H$15,MATCH(A62,'1 - Mix Reference'!$A$4:$A$15,0))="","",INDEX('1 - Mix Reference'!$H$4:$H$15,MATCH(A62,'1 - Mix Reference'!$A$4:$A$15,0)))</f>
        <v/>
      </c>
      <c r="M62" s="15" t="str">
        <f aca="false">IF(OR(D62="",F62=""),"",((D62-F62)/D62)*100)</f>
        <v/>
      </c>
      <c r="N62" s="15" t="str">
        <f aca="false">IF(K62="","",K62/10000)</f>
        <v/>
      </c>
      <c r="O62" s="17" t="str">
        <f aca="false">IF(OR(N62="",L62=""),"",(N62/L62)*100)</f>
        <v/>
      </c>
      <c r="P62" s="7"/>
    </row>
    <row r="63" customFormat="false" ht="15.75" hidden="false" customHeight="true" outlineLevel="0" collapsed="false">
      <c r="A63" s="21" t="s">
        <v>83</v>
      </c>
      <c r="B63" s="22" t="n">
        <v>400</v>
      </c>
      <c r="C63" s="22" t="n">
        <v>2</v>
      </c>
      <c r="D63" s="14"/>
      <c r="E63" s="7"/>
      <c r="F63" s="14"/>
      <c r="G63" s="7"/>
      <c r="H63" s="27"/>
      <c r="I63" s="27"/>
      <c r="J63" s="14"/>
      <c r="K63" s="16" t="str">
        <f aca="false">IF(J63="","",J63*1000)</f>
        <v/>
      </c>
      <c r="L63" s="17" t="str">
        <f aca="false">IF(INDEX('1 - Mix Reference'!$H$4:$H$15,MATCH(A63,'1 - Mix Reference'!$A$4:$A$15,0))="","",INDEX('1 - Mix Reference'!$H$4:$H$15,MATCH(A63,'1 - Mix Reference'!$A$4:$A$15,0)))</f>
        <v/>
      </c>
      <c r="M63" s="15" t="str">
        <f aca="false">IF(OR(D63="",F63=""),"",((D63-F63)/D63)*100)</f>
        <v/>
      </c>
      <c r="N63" s="15" t="str">
        <f aca="false">IF(K63="","",K63/10000)</f>
        <v/>
      </c>
      <c r="O63" s="17" t="str">
        <f aca="false">IF(OR(N63="",L63=""),"",(N63/L63)*100)</f>
        <v/>
      </c>
      <c r="P63" s="7"/>
    </row>
    <row r="64" customFormat="false" ht="15.75" hidden="false" customHeight="true" outlineLevel="0" collapsed="false">
      <c r="A64" s="21" t="s">
        <v>83</v>
      </c>
      <c r="B64" s="22" t="n">
        <v>400</v>
      </c>
      <c r="C64" s="22" t="n">
        <v>3</v>
      </c>
      <c r="D64" s="14"/>
      <c r="E64" s="7"/>
      <c r="F64" s="14"/>
      <c r="G64" s="7"/>
      <c r="H64" s="27"/>
      <c r="I64" s="27"/>
      <c r="J64" s="14"/>
      <c r="K64" s="16" t="str">
        <f aca="false">IF(J64="","",J64*1000)</f>
        <v/>
      </c>
      <c r="L64" s="17" t="str">
        <f aca="false">IF(INDEX('1 - Mix Reference'!$H$4:$H$15,MATCH(A64,'1 - Mix Reference'!$A$4:$A$15,0))="","",INDEX('1 - Mix Reference'!$H$4:$H$15,MATCH(A64,'1 - Mix Reference'!$A$4:$A$15,0)))</f>
        <v/>
      </c>
      <c r="M64" s="15" t="str">
        <f aca="false">IF(OR(D64="",F64=""),"",((D64-F64)/D64)*100)</f>
        <v/>
      </c>
      <c r="N64" s="15" t="str">
        <f aca="false">IF(K64="","",K64/10000)</f>
        <v/>
      </c>
      <c r="O64" s="17" t="str">
        <f aca="false">IF(OR(N64="",L64=""),"",(N64/L64)*100)</f>
        <v/>
      </c>
      <c r="P64" s="7"/>
    </row>
    <row r="65" customFormat="false" ht="15.75" hidden="false" customHeight="true" outlineLevel="0" collapsed="false">
      <c r="A65" s="21" t="s">
        <v>85</v>
      </c>
      <c r="B65" s="22" t="n">
        <v>400</v>
      </c>
      <c r="C65" s="22" t="n">
        <v>1</v>
      </c>
      <c r="D65" s="14"/>
      <c r="E65" s="7"/>
      <c r="F65" s="14"/>
      <c r="G65" s="7"/>
      <c r="H65" s="27"/>
      <c r="I65" s="27"/>
      <c r="J65" s="14"/>
      <c r="K65" s="16" t="str">
        <f aca="false">IF(J65="","",J65*1000)</f>
        <v/>
      </c>
      <c r="L65" s="17" t="str">
        <f aca="false">IF(INDEX('1 - Mix Reference'!$H$4:$H$15,MATCH(A65,'1 - Mix Reference'!$A$4:$A$15,0))="","",INDEX('1 - Mix Reference'!$H$4:$H$15,MATCH(A65,'1 - Mix Reference'!$A$4:$A$15,0)))</f>
        <v/>
      </c>
      <c r="M65" s="15" t="str">
        <f aca="false">IF(OR(D65="",F65=""),"",((D65-F65)/D65)*100)</f>
        <v/>
      </c>
      <c r="N65" s="15" t="str">
        <f aca="false">IF(K65="","",K65/10000)</f>
        <v/>
      </c>
      <c r="O65" s="17" t="str">
        <f aca="false">IF(OR(N65="",L65=""),"",(N65/L65)*100)</f>
        <v/>
      </c>
      <c r="P65" s="7"/>
    </row>
    <row r="66" customFormat="false" ht="15.75" hidden="false" customHeight="true" outlineLevel="0" collapsed="false">
      <c r="A66" s="21" t="s">
        <v>85</v>
      </c>
      <c r="B66" s="22" t="n">
        <v>400</v>
      </c>
      <c r="C66" s="22" t="n">
        <v>2</v>
      </c>
      <c r="D66" s="14"/>
      <c r="E66" s="7"/>
      <c r="F66" s="14"/>
      <c r="G66" s="7"/>
      <c r="H66" s="27"/>
      <c r="I66" s="27"/>
      <c r="J66" s="14"/>
      <c r="K66" s="16" t="str">
        <f aca="false">IF(J66="","",J66*1000)</f>
        <v/>
      </c>
      <c r="L66" s="17" t="str">
        <f aca="false">IF(INDEX('1 - Mix Reference'!$H$4:$H$15,MATCH(A66,'1 - Mix Reference'!$A$4:$A$15,0))="","",INDEX('1 - Mix Reference'!$H$4:$H$15,MATCH(A66,'1 - Mix Reference'!$A$4:$A$15,0)))</f>
        <v/>
      </c>
      <c r="M66" s="15" t="str">
        <f aca="false">IF(OR(D66="",F66=""),"",((D66-F66)/D66)*100)</f>
        <v/>
      </c>
      <c r="N66" s="15" t="str">
        <f aca="false">IF(K66="","",K66/10000)</f>
        <v/>
      </c>
      <c r="O66" s="17" t="str">
        <f aca="false">IF(OR(N66="",L66=""),"",(N66/L66)*100)</f>
        <v/>
      </c>
      <c r="P66" s="7"/>
    </row>
    <row r="67" customFormat="false" ht="15.75" hidden="false" customHeight="true" outlineLevel="0" collapsed="false">
      <c r="A67" s="21" t="s">
        <v>85</v>
      </c>
      <c r="B67" s="22" t="n">
        <v>400</v>
      </c>
      <c r="C67" s="22" t="n">
        <v>3</v>
      </c>
      <c r="D67" s="14"/>
      <c r="E67" s="7"/>
      <c r="F67" s="14"/>
      <c r="G67" s="7"/>
      <c r="H67" s="27"/>
      <c r="I67" s="27"/>
      <c r="J67" s="14"/>
      <c r="K67" s="16" t="str">
        <f aca="false">IF(J67="","",J67*1000)</f>
        <v/>
      </c>
      <c r="L67" s="17" t="str">
        <f aca="false">IF(INDEX('1 - Mix Reference'!$H$4:$H$15,MATCH(A67,'1 - Mix Reference'!$A$4:$A$15,0))="","",INDEX('1 - Mix Reference'!$H$4:$H$15,MATCH(A67,'1 - Mix Reference'!$A$4:$A$15,0)))</f>
        <v/>
      </c>
      <c r="M67" s="15" t="str">
        <f aca="false">IF(OR(D67="",F67=""),"",((D67-F67)/D67)*100)</f>
        <v/>
      </c>
      <c r="N67" s="15" t="str">
        <f aca="false">IF(K67="","",K67/10000)</f>
        <v/>
      </c>
      <c r="O67" s="17" t="str">
        <f aca="false">IF(OR(N67="",L67=""),"",(N67/L67)*100)</f>
        <v/>
      </c>
      <c r="P67" s="7"/>
    </row>
    <row r="68" customFormat="false" ht="15.75" hidden="false" customHeight="true" outlineLevel="0" collapsed="false">
      <c r="A68" s="23" t="s">
        <v>86</v>
      </c>
      <c r="B68" s="24" t="n">
        <v>400</v>
      </c>
      <c r="C68" s="24" t="n">
        <v>1</v>
      </c>
      <c r="D68" s="14"/>
      <c r="E68" s="7"/>
      <c r="F68" s="14"/>
      <c r="G68" s="7"/>
      <c r="H68" s="27"/>
      <c r="I68" s="27"/>
      <c r="J68" s="14"/>
      <c r="K68" s="16" t="str">
        <f aca="false">IF(J68="","",J68*1000)</f>
        <v/>
      </c>
      <c r="L68" s="17" t="str">
        <f aca="false">IF(INDEX('1 - Mix Reference'!$H$4:$H$15,MATCH(A68,'1 - Mix Reference'!$A$4:$A$15,0))="","",INDEX('1 - Mix Reference'!$H$4:$H$15,MATCH(A68,'1 - Mix Reference'!$A$4:$A$15,0)))</f>
        <v/>
      </c>
      <c r="M68" s="15" t="str">
        <f aca="false">IF(OR(D68="",F68=""),"",((D68-F68)/D68)*100)</f>
        <v/>
      </c>
      <c r="N68" s="15" t="str">
        <f aca="false">IF(K68="","",K68/10000)</f>
        <v/>
      </c>
      <c r="O68" s="17" t="str">
        <f aca="false">IF(OR(N68="",L68=""),"",(N68/L68)*100)</f>
        <v/>
      </c>
      <c r="P68" s="7"/>
    </row>
    <row r="69" customFormat="false" ht="15.75" hidden="false" customHeight="true" outlineLevel="0" collapsed="false">
      <c r="A69" s="23" t="s">
        <v>86</v>
      </c>
      <c r="B69" s="24" t="n">
        <v>400</v>
      </c>
      <c r="C69" s="24" t="n">
        <v>2</v>
      </c>
      <c r="D69" s="14"/>
      <c r="E69" s="7"/>
      <c r="F69" s="14"/>
      <c r="G69" s="7"/>
      <c r="H69" s="27"/>
      <c r="I69" s="27"/>
      <c r="J69" s="14"/>
      <c r="K69" s="16" t="str">
        <f aca="false">IF(J69="","",J69*1000)</f>
        <v/>
      </c>
      <c r="L69" s="17" t="str">
        <f aca="false">IF(INDEX('1 - Mix Reference'!$H$4:$H$15,MATCH(A69,'1 - Mix Reference'!$A$4:$A$15,0))="","",INDEX('1 - Mix Reference'!$H$4:$H$15,MATCH(A69,'1 - Mix Reference'!$A$4:$A$15,0)))</f>
        <v/>
      </c>
      <c r="M69" s="15" t="str">
        <f aca="false">IF(OR(D69="",F69=""),"",((D69-F69)/D69)*100)</f>
        <v/>
      </c>
      <c r="N69" s="15" t="str">
        <f aca="false">IF(K69="","",K69/10000)</f>
        <v/>
      </c>
      <c r="O69" s="17" t="str">
        <f aca="false">IF(OR(N69="",L69=""),"",(N69/L69)*100)</f>
        <v/>
      </c>
      <c r="P69" s="7"/>
    </row>
    <row r="70" customFormat="false" ht="15.75" hidden="false" customHeight="true" outlineLevel="0" collapsed="false">
      <c r="A70" s="23" t="s">
        <v>86</v>
      </c>
      <c r="B70" s="24" t="n">
        <v>400</v>
      </c>
      <c r="C70" s="24" t="n">
        <v>3</v>
      </c>
      <c r="D70" s="14"/>
      <c r="E70" s="7"/>
      <c r="F70" s="14"/>
      <c r="G70" s="7"/>
      <c r="H70" s="27"/>
      <c r="I70" s="27"/>
      <c r="J70" s="14"/>
      <c r="K70" s="16" t="str">
        <f aca="false">IF(J70="","",J70*1000)</f>
        <v/>
      </c>
      <c r="L70" s="17" t="str">
        <f aca="false">IF(INDEX('1 - Mix Reference'!$H$4:$H$15,MATCH(A70,'1 - Mix Reference'!$A$4:$A$15,0))="","",INDEX('1 - Mix Reference'!$H$4:$H$15,MATCH(A70,'1 - Mix Reference'!$A$4:$A$15,0)))</f>
        <v/>
      </c>
      <c r="M70" s="15" t="str">
        <f aca="false">IF(OR(D70="",F70=""),"",((D70-F70)/D70)*100)</f>
        <v/>
      </c>
      <c r="N70" s="15" t="str">
        <f aca="false">IF(K70="","",K70/10000)</f>
        <v/>
      </c>
      <c r="O70" s="17" t="str">
        <f aca="false">IF(OR(N70="",L70=""),"",(N70/L70)*100)</f>
        <v/>
      </c>
      <c r="P70" s="7"/>
    </row>
    <row r="71" customFormat="false" ht="15.75" hidden="false" customHeight="true" outlineLevel="0" collapsed="false">
      <c r="A71" s="21" t="s">
        <v>88</v>
      </c>
      <c r="B71" s="22" t="n">
        <v>400</v>
      </c>
      <c r="C71" s="22" t="n">
        <v>1</v>
      </c>
      <c r="D71" s="14"/>
      <c r="E71" s="7"/>
      <c r="F71" s="14"/>
      <c r="G71" s="7"/>
      <c r="H71" s="27"/>
      <c r="I71" s="27"/>
      <c r="J71" s="14"/>
      <c r="K71" s="16" t="str">
        <f aca="false">IF(J71="","",J71*1000)</f>
        <v/>
      </c>
      <c r="L71" s="17" t="str">
        <f aca="false">IF(INDEX('1 - Mix Reference'!$H$4:$H$15,MATCH(A71,'1 - Mix Reference'!$A$4:$A$15,0))="","",INDEX('1 - Mix Reference'!$H$4:$H$15,MATCH(A71,'1 - Mix Reference'!$A$4:$A$15,0)))</f>
        <v/>
      </c>
      <c r="M71" s="15" t="str">
        <f aca="false">IF(OR(D71="",F71=""),"",((D71-F71)/D71)*100)</f>
        <v/>
      </c>
      <c r="N71" s="15" t="str">
        <f aca="false">IF(K71="","",K71/10000)</f>
        <v/>
      </c>
      <c r="O71" s="17" t="str">
        <f aca="false">IF(OR(N71="",L71=""),"",(N71/L71)*100)</f>
        <v/>
      </c>
      <c r="P71" s="7"/>
    </row>
    <row r="72" customFormat="false" ht="15.75" hidden="false" customHeight="true" outlineLevel="0" collapsed="false">
      <c r="A72" s="21" t="s">
        <v>88</v>
      </c>
      <c r="B72" s="22" t="n">
        <v>400</v>
      </c>
      <c r="C72" s="22" t="n">
        <v>2</v>
      </c>
      <c r="D72" s="14"/>
      <c r="E72" s="7"/>
      <c r="F72" s="14"/>
      <c r="G72" s="7"/>
      <c r="H72" s="27"/>
      <c r="I72" s="27"/>
      <c r="J72" s="14"/>
      <c r="K72" s="16" t="str">
        <f aca="false">IF(J72="","",J72*1000)</f>
        <v/>
      </c>
      <c r="L72" s="17" t="str">
        <f aca="false">IF(INDEX('1 - Mix Reference'!$H$4:$H$15,MATCH(A72,'1 - Mix Reference'!$A$4:$A$15,0))="","",INDEX('1 - Mix Reference'!$H$4:$H$15,MATCH(A72,'1 - Mix Reference'!$A$4:$A$15,0)))</f>
        <v/>
      </c>
      <c r="M72" s="15" t="str">
        <f aca="false">IF(OR(D72="",F72=""),"",((D72-F72)/D72)*100)</f>
        <v/>
      </c>
      <c r="N72" s="15" t="str">
        <f aca="false">IF(K72="","",K72/10000)</f>
        <v/>
      </c>
      <c r="O72" s="17" t="str">
        <f aca="false">IF(OR(N72="",L72=""),"",(N72/L72)*100)</f>
        <v/>
      </c>
      <c r="P72" s="7"/>
    </row>
    <row r="73" customFormat="false" ht="15.75" hidden="false" customHeight="true" outlineLevel="0" collapsed="false">
      <c r="A73" s="21" t="s">
        <v>88</v>
      </c>
      <c r="B73" s="22" t="n">
        <v>400</v>
      </c>
      <c r="C73" s="22" t="n">
        <v>3</v>
      </c>
      <c r="D73" s="14"/>
      <c r="E73" s="7"/>
      <c r="F73" s="14"/>
      <c r="G73" s="7"/>
      <c r="H73" s="27"/>
      <c r="I73" s="27"/>
      <c r="J73" s="14"/>
      <c r="K73" s="16" t="str">
        <f aca="false">IF(J73="","",J73*1000)</f>
        <v/>
      </c>
      <c r="L73" s="17" t="str">
        <f aca="false">IF(INDEX('1 - Mix Reference'!$H$4:$H$15,MATCH(A73,'1 - Mix Reference'!$A$4:$A$15,0))="","",INDEX('1 - Mix Reference'!$H$4:$H$15,MATCH(A73,'1 - Mix Reference'!$A$4:$A$15,0)))</f>
        <v/>
      </c>
      <c r="M73" s="15" t="str">
        <f aca="false">IF(OR(D73="",F73=""),"",((D73-F73)/D73)*100)</f>
        <v/>
      </c>
      <c r="N73" s="15" t="str">
        <f aca="false">IF(K73="","",K73/10000)</f>
        <v/>
      </c>
      <c r="O73" s="17" t="str">
        <f aca="false">IF(OR(N73="",L73=""),"",(N73/L73)*100)</f>
        <v/>
      </c>
      <c r="P73" s="7"/>
    </row>
    <row r="74" customFormat="false" ht="15.75" hidden="false" customHeight="true" outlineLevel="0" collapsed="false">
      <c r="A74" s="21" t="s">
        <v>89</v>
      </c>
      <c r="B74" s="22" t="n">
        <v>400</v>
      </c>
      <c r="C74" s="22" t="n">
        <v>1</v>
      </c>
      <c r="D74" s="14"/>
      <c r="E74" s="7"/>
      <c r="F74" s="14"/>
      <c r="G74" s="7"/>
      <c r="H74" s="27"/>
      <c r="I74" s="27"/>
      <c r="J74" s="14"/>
      <c r="K74" s="16" t="str">
        <f aca="false">IF(J74="","",J74*1000)</f>
        <v/>
      </c>
      <c r="L74" s="17" t="str">
        <f aca="false">IF(INDEX('1 - Mix Reference'!$H$4:$H$15,MATCH(A74,'1 - Mix Reference'!$A$4:$A$15,0))="","",INDEX('1 - Mix Reference'!$H$4:$H$15,MATCH(A74,'1 - Mix Reference'!$A$4:$A$15,0)))</f>
        <v/>
      </c>
      <c r="M74" s="15" t="str">
        <f aca="false">IF(OR(D74="",F74=""),"",((D74-F74)/D74)*100)</f>
        <v/>
      </c>
      <c r="N74" s="15" t="str">
        <f aca="false">IF(K74="","",K74/10000)</f>
        <v/>
      </c>
      <c r="O74" s="17" t="str">
        <f aca="false">IF(OR(N74="",L74=""),"",(N74/L74)*100)</f>
        <v/>
      </c>
      <c r="P74" s="7"/>
    </row>
    <row r="75" customFormat="false" ht="15.75" hidden="false" customHeight="true" outlineLevel="0" collapsed="false">
      <c r="A75" s="21" t="s">
        <v>89</v>
      </c>
      <c r="B75" s="22" t="n">
        <v>400</v>
      </c>
      <c r="C75" s="22" t="n">
        <v>2</v>
      </c>
      <c r="D75" s="14"/>
      <c r="E75" s="7"/>
      <c r="F75" s="14"/>
      <c r="G75" s="7"/>
      <c r="H75" s="27"/>
      <c r="I75" s="27"/>
      <c r="J75" s="14"/>
      <c r="K75" s="16" t="str">
        <f aca="false">IF(J75="","",J75*1000)</f>
        <v/>
      </c>
      <c r="L75" s="17" t="str">
        <f aca="false">IF(INDEX('1 - Mix Reference'!$H$4:$H$15,MATCH(A75,'1 - Mix Reference'!$A$4:$A$15,0))="","",INDEX('1 - Mix Reference'!$H$4:$H$15,MATCH(A75,'1 - Mix Reference'!$A$4:$A$15,0)))</f>
        <v/>
      </c>
      <c r="M75" s="15" t="str">
        <f aca="false">IF(OR(D75="",F75=""),"",((D75-F75)/D75)*100)</f>
        <v/>
      </c>
      <c r="N75" s="15" t="str">
        <f aca="false">IF(K75="","",K75/10000)</f>
        <v/>
      </c>
      <c r="O75" s="17" t="str">
        <f aca="false">IF(OR(N75="",L75=""),"",(N75/L75)*100)</f>
        <v/>
      </c>
      <c r="P75" s="7"/>
    </row>
    <row r="76" customFormat="false" ht="15.75" hidden="false" customHeight="true" outlineLevel="0" collapsed="false">
      <c r="A76" s="21" t="s">
        <v>89</v>
      </c>
      <c r="B76" s="22" t="n">
        <v>400</v>
      </c>
      <c r="C76" s="22" t="n">
        <v>3</v>
      </c>
      <c r="D76" s="14"/>
      <c r="E76" s="7"/>
      <c r="F76" s="14"/>
      <c r="G76" s="7"/>
      <c r="H76" s="27"/>
      <c r="I76" s="27"/>
      <c r="J76" s="14"/>
      <c r="K76" s="16" t="str">
        <f aca="false">IF(J76="","",J76*1000)</f>
        <v/>
      </c>
      <c r="L76" s="17" t="str">
        <f aca="false">IF(INDEX('1 - Mix Reference'!$H$4:$H$15,MATCH(A76,'1 - Mix Reference'!$A$4:$A$15,0))="","",INDEX('1 - Mix Reference'!$H$4:$H$15,MATCH(A76,'1 - Mix Reference'!$A$4:$A$15,0)))</f>
        <v/>
      </c>
      <c r="M76" s="15" t="str">
        <f aca="false">IF(OR(D76="",F76=""),"",((D76-F76)/D76)*100)</f>
        <v/>
      </c>
      <c r="N76" s="15" t="str">
        <f aca="false">IF(K76="","",K76/10000)</f>
        <v/>
      </c>
      <c r="O76" s="17" t="str">
        <f aca="false">IF(OR(N76="",L76=""),"",(N76/L76)*100)</f>
        <v/>
      </c>
      <c r="P76" s="7"/>
    </row>
    <row r="77" customFormat="false" ht="15.75" hidden="false" customHeight="true" outlineLevel="0" collapsed="false">
      <c r="A77" s="21" t="s">
        <v>70</v>
      </c>
      <c r="B77" s="22" t="n">
        <v>600</v>
      </c>
      <c r="C77" s="22" t="n">
        <v>1</v>
      </c>
      <c r="D77" s="14"/>
      <c r="E77" s="7"/>
      <c r="F77" s="14"/>
      <c r="G77" s="7"/>
      <c r="H77" s="27"/>
      <c r="I77" s="27"/>
      <c r="J77" s="14"/>
      <c r="K77" s="16" t="str">
        <f aca="false">IF(J77="","",J77*1000)</f>
        <v/>
      </c>
      <c r="L77" s="17" t="str">
        <f aca="false">IF(INDEX('1 - Mix Reference'!$H$4:$H$15,MATCH(A77,'1 - Mix Reference'!$A$4:$A$15,0))="","",INDEX('1 - Mix Reference'!$H$4:$H$15,MATCH(A77,'1 - Mix Reference'!$A$4:$A$15,0)))</f>
        <v/>
      </c>
      <c r="M77" s="15" t="str">
        <f aca="false">IF(OR(D77="",F77=""),"",((D77-F77)/D77)*100)</f>
        <v/>
      </c>
      <c r="N77" s="15" t="str">
        <f aca="false">IF(K77="","",K77/10000)</f>
        <v/>
      </c>
      <c r="O77" s="17" t="str">
        <f aca="false">IF(OR(N77="",L77=""),"",(N77/L77)*100)</f>
        <v/>
      </c>
      <c r="P77" s="7"/>
    </row>
    <row r="78" customFormat="false" ht="15.75" hidden="false" customHeight="true" outlineLevel="0" collapsed="false">
      <c r="A78" s="21" t="s">
        <v>70</v>
      </c>
      <c r="B78" s="22" t="n">
        <v>600</v>
      </c>
      <c r="C78" s="22" t="n">
        <v>2</v>
      </c>
      <c r="D78" s="14"/>
      <c r="E78" s="7"/>
      <c r="F78" s="14"/>
      <c r="G78" s="7"/>
      <c r="H78" s="27"/>
      <c r="I78" s="27"/>
      <c r="J78" s="14"/>
      <c r="K78" s="16" t="str">
        <f aca="false">IF(J78="","",J78*1000)</f>
        <v/>
      </c>
      <c r="L78" s="17" t="str">
        <f aca="false">IF(INDEX('1 - Mix Reference'!$H$4:$H$15,MATCH(A78,'1 - Mix Reference'!$A$4:$A$15,0))="","",INDEX('1 - Mix Reference'!$H$4:$H$15,MATCH(A78,'1 - Mix Reference'!$A$4:$A$15,0)))</f>
        <v/>
      </c>
      <c r="M78" s="15" t="str">
        <f aca="false">IF(OR(D78="",F78=""),"",((D78-F78)/D78)*100)</f>
        <v/>
      </c>
      <c r="N78" s="15" t="str">
        <f aca="false">IF(K78="","",K78/10000)</f>
        <v/>
      </c>
      <c r="O78" s="17" t="str">
        <f aca="false">IF(OR(N78="",L78=""),"",(N78/L78)*100)</f>
        <v/>
      </c>
      <c r="P78" s="7"/>
    </row>
    <row r="79" customFormat="false" ht="15.75" hidden="false" customHeight="true" outlineLevel="0" collapsed="false">
      <c r="A79" s="21" t="s">
        <v>70</v>
      </c>
      <c r="B79" s="22" t="n">
        <v>600</v>
      </c>
      <c r="C79" s="22" t="n">
        <v>3</v>
      </c>
      <c r="D79" s="14"/>
      <c r="E79" s="7"/>
      <c r="F79" s="14"/>
      <c r="G79" s="7"/>
      <c r="H79" s="27"/>
      <c r="I79" s="27"/>
      <c r="J79" s="14"/>
      <c r="K79" s="16" t="str">
        <f aca="false">IF(J79="","",J79*1000)</f>
        <v/>
      </c>
      <c r="L79" s="17" t="str">
        <f aca="false">IF(INDEX('1 - Mix Reference'!$H$4:$H$15,MATCH(A79,'1 - Mix Reference'!$A$4:$A$15,0))="","",INDEX('1 - Mix Reference'!$H$4:$H$15,MATCH(A79,'1 - Mix Reference'!$A$4:$A$15,0)))</f>
        <v/>
      </c>
      <c r="M79" s="15" t="str">
        <f aca="false">IF(OR(D79="",F79=""),"",((D79-F79)/D79)*100)</f>
        <v/>
      </c>
      <c r="N79" s="15" t="str">
        <f aca="false">IF(K79="","",K79/10000)</f>
        <v/>
      </c>
      <c r="O79" s="17" t="str">
        <f aca="false">IF(OR(N79="",L79=""),"",(N79/L79)*100)</f>
        <v/>
      </c>
      <c r="P79" s="7"/>
    </row>
    <row r="80" customFormat="false" ht="15.75" hidden="false" customHeight="true" outlineLevel="0" collapsed="false">
      <c r="A80" s="21" t="s">
        <v>74</v>
      </c>
      <c r="B80" s="22" t="n">
        <v>600</v>
      </c>
      <c r="C80" s="22" t="n">
        <v>1</v>
      </c>
      <c r="D80" s="14"/>
      <c r="E80" s="7"/>
      <c r="F80" s="14"/>
      <c r="G80" s="7"/>
      <c r="H80" s="27"/>
      <c r="I80" s="27"/>
      <c r="J80" s="14"/>
      <c r="K80" s="16" t="str">
        <f aca="false">IF(J80="","",J80*1000)</f>
        <v/>
      </c>
      <c r="L80" s="17" t="str">
        <f aca="false">IF(INDEX('1 - Mix Reference'!$H$4:$H$15,MATCH(A80,'1 - Mix Reference'!$A$4:$A$15,0))="","",INDEX('1 - Mix Reference'!$H$4:$H$15,MATCH(A80,'1 - Mix Reference'!$A$4:$A$15,0)))</f>
        <v/>
      </c>
      <c r="M80" s="15" t="str">
        <f aca="false">IF(OR(D80="",F80=""),"",((D80-F80)/D80)*100)</f>
        <v/>
      </c>
      <c r="N80" s="15" t="str">
        <f aca="false">IF(K80="","",K80/10000)</f>
        <v/>
      </c>
      <c r="O80" s="17" t="str">
        <f aca="false">IF(OR(N80="",L80=""),"",(N80/L80)*100)</f>
        <v/>
      </c>
      <c r="P80" s="7"/>
    </row>
    <row r="81" customFormat="false" ht="15.75" hidden="false" customHeight="true" outlineLevel="0" collapsed="false">
      <c r="A81" s="21" t="s">
        <v>74</v>
      </c>
      <c r="B81" s="22" t="n">
        <v>600</v>
      </c>
      <c r="C81" s="22" t="n">
        <v>2</v>
      </c>
      <c r="D81" s="14"/>
      <c r="E81" s="7"/>
      <c r="F81" s="14"/>
      <c r="G81" s="7"/>
      <c r="H81" s="27"/>
      <c r="I81" s="27"/>
      <c r="J81" s="14"/>
      <c r="K81" s="16" t="str">
        <f aca="false">IF(J81="","",J81*1000)</f>
        <v/>
      </c>
      <c r="L81" s="17" t="str">
        <f aca="false">IF(INDEX('1 - Mix Reference'!$H$4:$H$15,MATCH(A81,'1 - Mix Reference'!$A$4:$A$15,0))="","",INDEX('1 - Mix Reference'!$H$4:$H$15,MATCH(A81,'1 - Mix Reference'!$A$4:$A$15,0)))</f>
        <v/>
      </c>
      <c r="M81" s="15" t="str">
        <f aca="false">IF(OR(D81="",F81=""),"",((D81-F81)/D81)*100)</f>
        <v/>
      </c>
      <c r="N81" s="15" t="str">
        <f aca="false">IF(K81="","",K81/10000)</f>
        <v/>
      </c>
      <c r="O81" s="17" t="str">
        <f aca="false">IF(OR(N81="",L81=""),"",(N81/L81)*100)</f>
        <v/>
      </c>
      <c r="P81" s="7"/>
    </row>
    <row r="82" customFormat="false" ht="15.75" hidden="false" customHeight="true" outlineLevel="0" collapsed="false">
      <c r="A82" s="21" t="s">
        <v>74</v>
      </c>
      <c r="B82" s="22" t="n">
        <v>600</v>
      </c>
      <c r="C82" s="22" t="n">
        <v>3</v>
      </c>
      <c r="D82" s="14"/>
      <c r="E82" s="7"/>
      <c r="F82" s="14"/>
      <c r="G82" s="7"/>
      <c r="H82" s="27"/>
      <c r="I82" s="27"/>
      <c r="J82" s="14"/>
      <c r="K82" s="16" t="str">
        <f aca="false">IF(J82="","",J82*1000)</f>
        <v/>
      </c>
      <c r="L82" s="17" t="str">
        <f aca="false">IF(INDEX('1 - Mix Reference'!$H$4:$H$15,MATCH(A82,'1 - Mix Reference'!$A$4:$A$15,0))="","",INDEX('1 - Mix Reference'!$H$4:$H$15,MATCH(A82,'1 - Mix Reference'!$A$4:$A$15,0)))</f>
        <v/>
      </c>
      <c r="M82" s="15" t="str">
        <f aca="false">IF(OR(D82="",F82=""),"",((D82-F82)/D82)*100)</f>
        <v/>
      </c>
      <c r="N82" s="15" t="str">
        <f aca="false">IF(K82="","",K82/10000)</f>
        <v/>
      </c>
      <c r="O82" s="17" t="str">
        <f aca="false">IF(OR(N82="",L82=""),"",(N82/L82)*100)</f>
        <v/>
      </c>
      <c r="P82" s="7"/>
    </row>
    <row r="83" customFormat="false" ht="15.75" hidden="false" customHeight="true" outlineLevel="0" collapsed="false">
      <c r="A83" s="21" t="s">
        <v>76</v>
      </c>
      <c r="B83" s="22" t="n">
        <v>600</v>
      </c>
      <c r="C83" s="22" t="n">
        <v>1</v>
      </c>
      <c r="D83" s="14"/>
      <c r="E83" s="7"/>
      <c r="F83" s="14"/>
      <c r="G83" s="7"/>
      <c r="H83" s="27"/>
      <c r="I83" s="27"/>
      <c r="J83" s="14"/>
      <c r="K83" s="16" t="str">
        <f aca="false">IF(J83="","",J83*1000)</f>
        <v/>
      </c>
      <c r="L83" s="17" t="str">
        <f aca="false">IF(INDEX('1 - Mix Reference'!$H$4:$H$15,MATCH(A83,'1 - Mix Reference'!$A$4:$A$15,0))="","",INDEX('1 - Mix Reference'!$H$4:$H$15,MATCH(A83,'1 - Mix Reference'!$A$4:$A$15,0)))</f>
        <v/>
      </c>
      <c r="M83" s="15" t="str">
        <f aca="false">IF(OR(D83="",F83=""),"",((D83-F83)/D83)*100)</f>
        <v/>
      </c>
      <c r="N83" s="15" t="str">
        <f aca="false">IF(K83="","",K83/10000)</f>
        <v/>
      </c>
      <c r="O83" s="17" t="str">
        <f aca="false">IF(OR(N83="",L83=""),"",(N83/L83)*100)</f>
        <v/>
      </c>
      <c r="P83" s="7"/>
    </row>
    <row r="84" customFormat="false" ht="15.75" hidden="false" customHeight="true" outlineLevel="0" collapsed="false">
      <c r="A84" s="21" t="s">
        <v>76</v>
      </c>
      <c r="B84" s="22" t="n">
        <v>600</v>
      </c>
      <c r="C84" s="22" t="n">
        <v>2</v>
      </c>
      <c r="D84" s="14"/>
      <c r="E84" s="7"/>
      <c r="F84" s="14"/>
      <c r="G84" s="7"/>
      <c r="H84" s="27"/>
      <c r="I84" s="27"/>
      <c r="J84" s="14"/>
      <c r="K84" s="16" t="str">
        <f aca="false">IF(J84="","",J84*1000)</f>
        <v/>
      </c>
      <c r="L84" s="17" t="str">
        <f aca="false">IF(INDEX('1 - Mix Reference'!$H$4:$H$15,MATCH(A84,'1 - Mix Reference'!$A$4:$A$15,0))="","",INDEX('1 - Mix Reference'!$H$4:$H$15,MATCH(A84,'1 - Mix Reference'!$A$4:$A$15,0)))</f>
        <v/>
      </c>
      <c r="M84" s="15" t="str">
        <f aca="false">IF(OR(D84="",F84=""),"",((D84-F84)/D84)*100)</f>
        <v/>
      </c>
      <c r="N84" s="15" t="str">
        <f aca="false">IF(K84="","",K84/10000)</f>
        <v/>
      </c>
      <c r="O84" s="17" t="str">
        <f aca="false">IF(OR(N84="",L84=""),"",(N84/L84)*100)</f>
        <v/>
      </c>
      <c r="P84" s="7"/>
    </row>
    <row r="85" customFormat="false" ht="15.75" hidden="false" customHeight="true" outlineLevel="0" collapsed="false">
      <c r="A85" s="21" t="s">
        <v>76</v>
      </c>
      <c r="B85" s="22" t="n">
        <v>600</v>
      </c>
      <c r="C85" s="22" t="n">
        <v>3</v>
      </c>
      <c r="D85" s="14"/>
      <c r="E85" s="7"/>
      <c r="F85" s="14"/>
      <c r="G85" s="7"/>
      <c r="H85" s="27"/>
      <c r="I85" s="27"/>
      <c r="J85" s="14"/>
      <c r="K85" s="16" t="str">
        <f aca="false">IF(J85="","",J85*1000)</f>
        <v/>
      </c>
      <c r="L85" s="17" t="str">
        <f aca="false">IF(INDEX('1 - Mix Reference'!$H$4:$H$15,MATCH(A85,'1 - Mix Reference'!$A$4:$A$15,0))="","",INDEX('1 - Mix Reference'!$H$4:$H$15,MATCH(A85,'1 - Mix Reference'!$A$4:$A$15,0)))</f>
        <v/>
      </c>
      <c r="M85" s="15" t="str">
        <f aca="false">IF(OR(D85="",F85=""),"",((D85-F85)/D85)*100)</f>
        <v/>
      </c>
      <c r="N85" s="15" t="str">
        <f aca="false">IF(K85="","",K85/10000)</f>
        <v/>
      </c>
      <c r="O85" s="17" t="str">
        <f aca="false">IF(OR(N85="",L85=""),"",(N85/L85)*100)</f>
        <v/>
      </c>
      <c r="P85" s="7"/>
    </row>
    <row r="86" customFormat="false" ht="15.75" hidden="false" customHeight="true" outlineLevel="0" collapsed="false">
      <c r="A86" s="21" t="s">
        <v>77</v>
      </c>
      <c r="B86" s="22" t="n">
        <v>600</v>
      </c>
      <c r="C86" s="22" t="n">
        <v>1</v>
      </c>
      <c r="D86" s="14"/>
      <c r="E86" s="7"/>
      <c r="F86" s="14"/>
      <c r="G86" s="7"/>
      <c r="H86" s="27"/>
      <c r="I86" s="27"/>
      <c r="J86" s="14"/>
      <c r="K86" s="16" t="str">
        <f aca="false">IF(J86="","",J86*1000)</f>
        <v/>
      </c>
      <c r="L86" s="17" t="str">
        <f aca="false">IF(INDEX('1 - Mix Reference'!$H$4:$H$15,MATCH(A86,'1 - Mix Reference'!$A$4:$A$15,0))="","",INDEX('1 - Mix Reference'!$H$4:$H$15,MATCH(A86,'1 - Mix Reference'!$A$4:$A$15,0)))</f>
        <v/>
      </c>
      <c r="M86" s="15" t="str">
        <f aca="false">IF(OR(D86="",F86=""),"",((D86-F86)/D86)*100)</f>
        <v/>
      </c>
      <c r="N86" s="15" t="str">
        <f aca="false">IF(K86="","",K86/10000)</f>
        <v/>
      </c>
      <c r="O86" s="17" t="str">
        <f aca="false">IF(OR(N86="",L86=""),"",(N86/L86)*100)</f>
        <v/>
      </c>
      <c r="P86" s="7"/>
    </row>
    <row r="87" customFormat="false" ht="15.75" hidden="false" customHeight="true" outlineLevel="0" collapsed="false">
      <c r="A87" s="21" t="s">
        <v>77</v>
      </c>
      <c r="B87" s="22" t="n">
        <v>600</v>
      </c>
      <c r="C87" s="22" t="n">
        <v>2</v>
      </c>
      <c r="D87" s="14"/>
      <c r="E87" s="7"/>
      <c r="F87" s="14"/>
      <c r="G87" s="7"/>
      <c r="H87" s="27"/>
      <c r="I87" s="27"/>
      <c r="J87" s="14"/>
      <c r="K87" s="16" t="str">
        <f aca="false">IF(J87="","",J87*1000)</f>
        <v/>
      </c>
      <c r="L87" s="17" t="str">
        <f aca="false">IF(INDEX('1 - Mix Reference'!$H$4:$H$15,MATCH(A87,'1 - Mix Reference'!$A$4:$A$15,0))="","",INDEX('1 - Mix Reference'!$H$4:$H$15,MATCH(A87,'1 - Mix Reference'!$A$4:$A$15,0)))</f>
        <v/>
      </c>
      <c r="M87" s="15" t="str">
        <f aca="false">IF(OR(D87="",F87=""),"",((D87-F87)/D87)*100)</f>
        <v/>
      </c>
      <c r="N87" s="15" t="str">
        <f aca="false">IF(K87="","",K87/10000)</f>
        <v/>
      </c>
      <c r="O87" s="17" t="str">
        <f aca="false">IF(OR(N87="",L87=""),"",(N87/L87)*100)</f>
        <v/>
      </c>
      <c r="P87" s="7"/>
    </row>
    <row r="88" customFormat="false" ht="15.75" hidden="false" customHeight="true" outlineLevel="0" collapsed="false">
      <c r="A88" s="21" t="s">
        <v>77</v>
      </c>
      <c r="B88" s="22" t="n">
        <v>600</v>
      </c>
      <c r="C88" s="22" t="n">
        <v>3</v>
      </c>
      <c r="D88" s="14"/>
      <c r="E88" s="7"/>
      <c r="F88" s="14"/>
      <c r="G88" s="7"/>
      <c r="H88" s="27"/>
      <c r="I88" s="27"/>
      <c r="J88" s="14"/>
      <c r="K88" s="16" t="str">
        <f aca="false">IF(J88="","",J88*1000)</f>
        <v/>
      </c>
      <c r="L88" s="17" t="str">
        <f aca="false">IF(INDEX('1 - Mix Reference'!$H$4:$H$15,MATCH(A88,'1 - Mix Reference'!$A$4:$A$15,0))="","",INDEX('1 - Mix Reference'!$H$4:$H$15,MATCH(A88,'1 - Mix Reference'!$A$4:$A$15,0)))</f>
        <v/>
      </c>
      <c r="M88" s="15" t="str">
        <f aca="false">IF(OR(D88="",F88=""),"",((D88-F88)/D88)*100)</f>
        <v/>
      </c>
      <c r="N88" s="15" t="str">
        <f aca="false">IF(K88="","",K88/10000)</f>
        <v/>
      </c>
      <c r="O88" s="17" t="str">
        <f aca="false">IF(OR(N88="",L88=""),"",(N88/L88)*100)</f>
        <v/>
      </c>
      <c r="P88" s="7"/>
    </row>
    <row r="89" customFormat="false" ht="15.75" hidden="false" customHeight="true" outlineLevel="0" collapsed="false">
      <c r="A89" s="21" t="s">
        <v>78</v>
      </c>
      <c r="B89" s="22" t="n">
        <v>600</v>
      </c>
      <c r="C89" s="22" t="n">
        <v>1</v>
      </c>
      <c r="D89" s="14"/>
      <c r="E89" s="7"/>
      <c r="F89" s="14"/>
      <c r="G89" s="7"/>
      <c r="H89" s="27"/>
      <c r="I89" s="27"/>
      <c r="J89" s="14"/>
      <c r="K89" s="16" t="str">
        <f aca="false">IF(J89="","",J89*1000)</f>
        <v/>
      </c>
      <c r="L89" s="17" t="str">
        <f aca="false">IF(INDEX('1 - Mix Reference'!$H$4:$H$15,MATCH(A89,'1 - Mix Reference'!$A$4:$A$15,0))="","",INDEX('1 - Mix Reference'!$H$4:$H$15,MATCH(A89,'1 - Mix Reference'!$A$4:$A$15,0)))</f>
        <v/>
      </c>
      <c r="M89" s="15" t="str">
        <f aca="false">IF(OR(D89="",F89=""),"",((D89-F89)/D89)*100)</f>
        <v/>
      </c>
      <c r="N89" s="15" t="str">
        <f aca="false">IF(K89="","",K89/10000)</f>
        <v/>
      </c>
      <c r="O89" s="17" t="str">
        <f aca="false">IF(OR(N89="",L89=""),"",(N89/L89)*100)</f>
        <v/>
      </c>
      <c r="P89" s="7"/>
    </row>
    <row r="90" customFormat="false" ht="15.75" hidden="false" customHeight="true" outlineLevel="0" collapsed="false">
      <c r="A90" s="21" t="s">
        <v>78</v>
      </c>
      <c r="B90" s="22" t="n">
        <v>600</v>
      </c>
      <c r="C90" s="22" t="n">
        <v>2</v>
      </c>
      <c r="D90" s="14"/>
      <c r="E90" s="7"/>
      <c r="F90" s="14"/>
      <c r="G90" s="7"/>
      <c r="H90" s="27"/>
      <c r="I90" s="27"/>
      <c r="J90" s="14"/>
      <c r="K90" s="16" t="str">
        <f aca="false">IF(J90="","",J90*1000)</f>
        <v/>
      </c>
      <c r="L90" s="17" t="str">
        <f aca="false">IF(INDEX('1 - Mix Reference'!$H$4:$H$15,MATCH(A90,'1 - Mix Reference'!$A$4:$A$15,0))="","",INDEX('1 - Mix Reference'!$H$4:$H$15,MATCH(A90,'1 - Mix Reference'!$A$4:$A$15,0)))</f>
        <v/>
      </c>
      <c r="M90" s="15" t="str">
        <f aca="false">IF(OR(D90="",F90=""),"",((D90-F90)/D90)*100)</f>
        <v/>
      </c>
      <c r="N90" s="15" t="str">
        <f aca="false">IF(K90="","",K90/10000)</f>
        <v/>
      </c>
      <c r="O90" s="17" t="str">
        <f aca="false">IF(OR(N90="",L90=""),"",(N90/L90)*100)</f>
        <v/>
      </c>
      <c r="P90" s="7"/>
    </row>
    <row r="91" customFormat="false" ht="15.75" hidden="false" customHeight="true" outlineLevel="0" collapsed="false">
      <c r="A91" s="21" t="s">
        <v>78</v>
      </c>
      <c r="B91" s="22" t="n">
        <v>600</v>
      </c>
      <c r="C91" s="22" t="n">
        <v>3</v>
      </c>
      <c r="D91" s="14"/>
      <c r="E91" s="7"/>
      <c r="F91" s="14"/>
      <c r="G91" s="7"/>
      <c r="H91" s="27"/>
      <c r="I91" s="27"/>
      <c r="J91" s="14"/>
      <c r="K91" s="16" t="str">
        <f aca="false">IF(J91="","",J91*1000)</f>
        <v/>
      </c>
      <c r="L91" s="17" t="str">
        <f aca="false">IF(INDEX('1 - Mix Reference'!$H$4:$H$15,MATCH(A91,'1 - Mix Reference'!$A$4:$A$15,0))="","",INDEX('1 - Mix Reference'!$H$4:$H$15,MATCH(A91,'1 - Mix Reference'!$A$4:$A$15,0)))</f>
        <v/>
      </c>
      <c r="M91" s="15" t="str">
        <f aca="false">IF(OR(D91="",F91=""),"",((D91-F91)/D91)*100)</f>
        <v/>
      </c>
      <c r="N91" s="15" t="str">
        <f aca="false">IF(K91="","",K91/10000)</f>
        <v/>
      </c>
      <c r="O91" s="17" t="str">
        <f aca="false">IF(OR(N91="",L91=""),"",(N91/L91)*100)</f>
        <v/>
      </c>
      <c r="P91" s="7"/>
    </row>
    <row r="92" customFormat="false" ht="15.75" hidden="false" customHeight="true" outlineLevel="0" collapsed="false">
      <c r="A92" s="21" t="s">
        <v>79</v>
      </c>
      <c r="B92" s="22" t="n">
        <v>600</v>
      </c>
      <c r="C92" s="22" t="n">
        <v>1</v>
      </c>
      <c r="D92" s="14"/>
      <c r="E92" s="7"/>
      <c r="F92" s="14"/>
      <c r="G92" s="7"/>
      <c r="H92" s="27"/>
      <c r="I92" s="27"/>
      <c r="J92" s="14"/>
      <c r="K92" s="16" t="str">
        <f aca="false">IF(J92="","",J92*1000)</f>
        <v/>
      </c>
      <c r="L92" s="17" t="str">
        <f aca="false">IF(INDEX('1 - Mix Reference'!$H$4:$H$15,MATCH(A92,'1 - Mix Reference'!$A$4:$A$15,0))="","",INDEX('1 - Mix Reference'!$H$4:$H$15,MATCH(A92,'1 - Mix Reference'!$A$4:$A$15,0)))</f>
        <v/>
      </c>
      <c r="M92" s="15" t="str">
        <f aca="false">IF(OR(D92="",F92=""),"",((D92-F92)/D92)*100)</f>
        <v/>
      </c>
      <c r="N92" s="15" t="str">
        <f aca="false">IF(K92="","",K92/10000)</f>
        <v/>
      </c>
      <c r="O92" s="17" t="str">
        <f aca="false">IF(OR(N92="",L92=""),"",(N92/L92)*100)</f>
        <v/>
      </c>
      <c r="P92" s="7"/>
    </row>
    <row r="93" customFormat="false" ht="15.75" hidden="false" customHeight="true" outlineLevel="0" collapsed="false">
      <c r="A93" s="21" t="s">
        <v>79</v>
      </c>
      <c r="B93" s="22" t="n">
        <v>600</v>
      </c>
      <c r="C93" s="22" t="n">
        <v>2</v>
      </c>
      <c r="D93" s="14"/>
      <c r="E93" s="7"/>
      <c r="F93" s="14"/>
      <c r="G93" s="7"/>
      <c r="H93" s="27"/>
      <c r="I93" s="27"/>
      <c r="J93" s="14"/>
      <c r="K93" s="16" t="str">
        <f aca="false">IF(J93="","",J93*1000)</f>
        <v/>
      </c>
      <c r="L93" s="17" t="str">
        <f aca="false">IF(INDEX('1 - Mix Reference'!$H$4:$H$15,MATCH(A93,'1 - Mix Reference'!$A$4:$A$15,0))="","",INDEX('1 - Mix Reference'!$H$4:$H$15,MATCH(A93,'1 - Mix Reference'!$A$4:$A$15,0)))</f>
        <v/>
      </c>
      <c r="M93" s="15" t="str">
        <f aca="false">IF(OR(D93="",F93=""),"",((D93-F93)/D93)*100)</f>
        <v/>
      </c>
      <c r="N93" s="15" t="str">
        <f aca="false">IF(K93="","",K93/10000)</f>
        <v/>
      </c>
      <c r="O93" s="17" t="str">
        <f aca="false">IF(OR(N93="",L93=""),"",(N93/L93)*100)</f>
        <v/>
      </c>
      <c r="P93" s="7"/>
    </row>
    <row r="94" customFormat="false" ht="15.75" hidden="false" customHeight="true" outlineLevel="0" collapsed="false">
      <c r="A94" s="21" t="s">
        <v>79</v>
      </c>
      <c r="B94" s="22" t="n">
        <v>600</v>
      </c>
      <c r="C94" s="22" t="n">
        <v>3</v>
      </c>
      <c r="D94" s="14"/>
      <c r="E94" s="7"/>
      <c r="F94" s="14"/>
      <c r="G94" s="7"/>
      <c r="H94" s="27"/>
      <c r="I94" s="27"/>
      <c r="J94" s="14"/>
      <c r="K94" s="16" t="str">
        <f aca="false">IF(J94="","",J94*1000)</f>
        <v/>
      </c>
      <c r="L94" s="17" t="str">
        <f aca="false">IF(INDEX('1 - Mix Reference'!$H$4:$H$15,MATCH(A94,'1 - Mix Reference'!$A$4:$A$15,0))="","",INDEX('1 - Mix Reference'!$H$4:$H$15,MATCH(A94,'1 - Mix Reference'!$A$4:$A$15,0)))</f>
        <v/>
      </c>
      <c r="M94" s="15" t="str">
        <f aca="false">IF(OR(D94="",F94=""),"",((D94-F94)/D94)*100)</f>
        <v/>
      </c>
      <c r="N94" s="15" t="str">
        <f aca="false">IF(K94="","",K94/10000)</f>
        <v/>
      </c>
      <c r="O94" s="17" t="str">
        <f aca="false">IF(OR(N94="",L94=""),"",(N94/L94)*100)</f>
        <v/>
      </c>
      <c r="P94" s="7"/>
    </row>
    <row r="95" customFormat="false" ht="15.75" hidden="false" customHeight="true" outlineLevel="0" collapsed="false">
      <c r="A95" s="21" t="s">
        <v>81</v>
      </c>
      <c r="B95" s="22" t="n">
        <v>600</v>
      </c>
      <c r="C95" s="22" t="n">
        <v>1</v>
      </c>
      <c r="D95" s="14"/>
      <c r="E95" s="7"/>
      <c r="F95" s="14"/>
      <c r="G95" s="7"/>
      <c r="H95" s="27"/>
      <c r="I95" s="27"/>
      <c r="J95" s="14"/>
      <c r="K95" s="16" t="str">
        <f aca="false">IF(J95="","",J95*1000)</f>
        <v/>
      </c>
      <c r="L95" s="17" t="str">
        <f aca="false">IF(INDEX('1 - Mix Reference'!$H$4:$H$15,MATCH(A95,'1 - Mix Reference'!$A$4:$A$15,0))="","",INDEX('1 - Mix Reference'!$H$4:$H$15,MATCH(A95,'1 - Mix Reference'!$A$4:$A$15,0)))</f>
        <v/>
      </c>
      <c r="M95" s="15" t="str">
        <f aca="false">IF(OR(D95="",F95=""),"",((D95-F95)/D95)*100)</f>
        <v/>
      </c>
      <c r="N95" s="15" t="str">
        <f aca="false">IF(K95="","",K95/10000)</f>
        <v/>
      </c>
      <c r="O95" s="17" t="str">
        <f aca="false">IF(OR(N95="",L95=""),"",(N95/L95)*100)</f>
        <v/>
      </c>
      <c r="P95" s="7"/>
    </row>
    <row r="96" customFormat="false" ht="15.75" hidden="false" customHeight="true" outlineLevel="0" collapsed="false">
      <c r="A96" s="21" t="s">
        <v>81</v>
      </c>
      <c r="B96" s="22" t="n">
        <v>600</v>
      </c>
      <c r="C96" s="22" t="n">
        <v>2</v>
      </c>
      <c r="D96" s="14"/>
      <c r="E96" s="7"/>
      <c r="F96" s="14"/>
      <c r="G96" s="7"/>
      <c r="H96" s="27"/>
      <c r="I96" s="27"/>
      <c r="J96" s="14"/>
      <c r="K96" s="16" t="str">
        <f aca="false">IF(J96="","",J96*1000)</f>
        <v/>
      </c>
      <c r="L96" s="17" t="str">
        <f aca="false">IF(INDEX('1 - Mix Reference'!$H$4:$H$15,MATCH(A96,'1 - Mix Reference'!$A$4:$A$15,0))="","",INDEX('1 - Mix Reference'!$H$4:$H$15,MATCH(A96,'1 - Mix Reference'!$A$4:$A$15,0)))</f>
        <v/>
      </c>
      <c r="M96" s="15" t="str">
        <f aca="false">IF(OR(D96="",F96=""),"",((D96-F96)/D96)*100)</f>
        <v/>
      </c>
      <c r="N96" s="15" t="str">
        <f aca="false">IF(K96="","",K96/10000)</f>
        <v/>
      </c>
      <c r="O96" s="17" t="str">
        <f aca="false">IF(OR(N96="",L96=""),"",(N96/L96)*100)</f>
        <v/>
      </c>
      <c r="P96" s="7"/>
    </row>
    <row r="97" customFormat="false" ht="15.75" hidden="false" customHeight="true" outlineLevel="0" collapsed="false">
      <c r="A97" s="21" t="s">
        <v>81</v>
      </c>
      <c r="B97" s="22" t="n">
        <v>600</v>
      </c>
      <c r="C97" s="22" t="n">
        <v>3</v>
      </c>
      <c r="D97" s="14"/>
      <c r="E97" s="7"/>
      <c r="F97" s="14"/>
      <c r="G97" s="7"/>
      <c r="H97" s="27"/>
      <c r="I97" s="27"/>
      <c r="J97" s="14"/>
      <c r="K97" s="16" t="str">
        <f aca="false">IF(J97="","",J97*1000)</f>
        <v/>
      </c>
      <c r="L97" s="17" t="str">
        <f aca="false">IF(INDEX('1 - Mix Reference'!$H$4:$H$15,MATCH(A97,'1 - Mix Reference'!$A$4:$A$15,0))="","",INDEX('1 - Mix Reference'!$H$4:$H$15,MATCH(A97,'1 - Mix Reference'!$A$4:$A$15,0)))</f>
        <v/>
      </c>
      <c r="M97" s="15" t="str">
        <f aca="false">IF(OR(D97="",F97=""),"",((D97-F97)/D97)*100)</f>
        <v/>
      </c>
      <c r="N97" s="15" t="str">
        <f aca="false">IF(K97="","",K97/10000)</f>
        <v/>
      </c>
      <c r="O97" s="17" t="str">
        <f aca="false">IF(OR(N97="",L97=""),"",(N97/L97)*100)</f>
        <v/>
      </c>
      <c r="P97" s="7"/>
    </row>
    <row r="98" customFormat="false" ht="15.75" hidden="false" customHeight="true" outlineLevel="0" collapsed="false">
      <c r="A98" s="21" t="s">
        <v>83</v>
      </c>
      <c r="B98" s="22" t="n">
        <v>600</v>
      </c>
      <c r="C98" s="22" t="n">
        <v>1</v>
      </c>
      <c r="D98" s="14"/>
      <c r="E98" s="7"/>
      <c r="F98" s="14"/>
      <c r="G98" s="7"/>
      <c r="H98" s="27"/>
      <c r="I98" s="27"/>
      <c r="J98" s="14"/>
      <c r="K98" s="16" t="str">
        <f aca="false">IF(J98="","",J98*1000)</f>
        <v/>
      </c>
      <c r="L98" s="17" t="str">
        <f aca="false">IF(INDEX('1 - Mix Reference'!$H$4:$H$15,MATCH(A98,'1 - Mix Reference'!$A$4:$A$15,0))="","",INDEX('1 - Mix Reference'!$H$4:$H$15,MATCH(A98,'1 - Mix Reference'!$A$4:$A$15,0)))</f>
        <v/>
      </c>
      <c r="M98" s="15" t="str">
        <f aca="false">IF(OR(D98="",F98=""),"",((D98-F98)/D98)*100)</f>
        <v/>
      </c>
      <c r="N98" s="15" t="str">
        <f aca="false">IF(K98="","",K98/10000)</f>
        <v/>
      </c>
      <c r="O98" s="17" t="str">
        <f aca="false">IF(OR(N98="",L98=""),"",(N98/L98)*100)</f>
        <v/>
      </c>
      <c r="P98" s="7"/>
    </row>
    <row r="99" customFormat="false" ht="15.75" hidden="false" customHeight="true" outlineLevel="0" collapsed="false">
      <c r="A99" s="21" t="s">
        <v>83</v>
      </c>
      <c r="B99" s="22" t="n">
        <v>600</v>
      </c>
      <c r="C99" s="22" t="n">
        <v>2</v>
      </c>
      <c r="D99" s="14"/>
      <c r="E99" s="7"/>
      <c r="F99" s="14"/>
      <c r="G99" s="7"/>
      <c r="H99" s="27"/>
      <c r="I99" s="27"/>
      <c r="J99" s="14"/>
      <c r="K99" s="16" t="str">
        <f aca="false">IF(J99="","",J99*1000)</f>
        <v/>
      </c>
      <c r="L99" s="17" t="str">
        <f aca="false">IF(INDEX('1 - Mix Reference'!$H$4:$H$15,MATCH(A99,'1 - Mix Reference'!$A$4:$A$15,0))="","",INDEX('1 - Mix Reference'!$H$4:$H$15,MATCH(A99,'1 - Mix Reference'!$A$4:$A$15,0)))</f>
        <v/>
      </c>
      <c r="M99" s="15" t="str">
        <f aca="false">IF(OR(D99="",F99=""),"",((D99-F99)/D99)*100)</f>
        <v/>
      </c>
      <c r="N99" s="15" t="str">
        <f aca="false">IF(K99="","",K99/10000)</f>
        <v/>
      </c>
      <c r="O99" s="17" t="str">
        <f aca="false">IF(OR(N99="",L99=""),"",(N99/L99)*100)</f>
        <v/>
      </c>
      <c r="P99" s="7"/>
    </row>
    <row r="100" customFormat="false" ht="15.75" hidden="false" customHeight="true" outlineLevel="0" collapsed="false">
      <c r="A100" s="21" t="s">
        <v>83</v>
      </c>
      <c r="B100" s="22" t="n">
        <v>600</v>
      </c>
      <c r="C100" s="22" t="n">
        <v>3</v>
      </c>
      <c r="D100" s="14"/>
      <c r="E100" s="7"/>
      <c r="F100" s="14"/>
      <c r="G100" s="7"/>
      <c r="H100" s="27"/>
      <c r="I100" s="27"/>
      <c r="J100" s="14"/>
      <c r="K100" s="16" t="str">
        <f aca="false">IF(J100="","",J100*1000)</f>
        <v/>
      </c>
      <c r="L100" s="17" t="str">
        <f aca="false">IF(INDEX('1 - Mix Reference'!$H$4:$H$15,MATCH(A100,'1 - Mix Reference'!$A$4:$A$15,0))="","",INDEX('1 - Mix Reference'!$H$4:$H$15,MATCH(A100,'1 - Mix Reference'!$A$4:$A$15,0)))</f>
        <v/>
      </c>
      <c r="M100" s="15" t="str">
        <f aca="false">IF(OR(D100="",F100=""),"",((D100-F100)/D100)*100)</f>
        <v/>
      </c>
      <c r="N100" s="15" t="str">
        <f aca="false">IF(K100="","",K100/10000)</f>
        <v/>
      </c>
      <c r="O100" s="17" t="str">
        <f aca="false">IF(OR(N100="",L100=""),"",(N100/L100)*100)</f>
        <v/>
      </c>
      <c r="P100" s="7"/>
    </row>
    <row r="101" customFormat="false" ht="15.75" hidden="false" customHeight="true" outlineLevel="0" collapsed="false">
      <c r="A101" s="21" t="s">
        <v>85</v>
      </c>
      <c r="B101" s="22" t="n">
        <v>600</v>
      </c>
      <c r="C101" s="22" t="n">
        <v>1</v>
      </c>
      <c r="D101" s="14"/>
      <c r="E101" s="7"/>
      <c r="F101" s="14"/>
      <c r="G101" s="7"/>
      <c r="H101" s="27"/>
      <c r="I101" s="27"/>
      <c r="J101" s="14"/>
      <c r="K101" s="16" t="str">
        <f aca="false">IF(J101="","",J101*1000)</f>
        <v/>
      </c>
      <c r="L101" s="17" t="str">
        <f aca="false">IF(INDEX('1 - Mix Reference'!$H$4:$H$15,MATCH(A101,'1 - Mix Reference'!$A$4:$A$15,0))="","",INDEX('1 - Mix Reference'!$H$4:$H$15,MATCH(A101,'1 - Mix Reference'!$A$4:$A$15,0)))</f>
        <v/>
      </c>
      <c r="M101" s="15" t="str">
        <f aca="false">IF(OR(D101="",F101=""),"",((D101-F101)/D101)*100)</f>
        <v/>
      </c>
      <c r="N101" s="15" t="str">
        <f aca="false">IF(K101="","",K101/10000)</f>
        <v/>
      </c>
      <c r="O101" s="17" t="str">
        <f aca="false">IF(OR(N101="",L101=""),"",(N101/L101)*100)</f>
        <v/>
      </c>
      <c r="P101" s="7"/>
    </row>
    <row r="102" customFormat="false" ht="15.75" hidden="false" customHeight="true" outlineLevel="0" collapsed="false">
      <c r="A102" s="21" t="s">
        <v>85</v>
      </c>
      <c r="B102" s="22" t="n">
        <v>600</v>
      </c>
      <c r="C102" s="22" t="n">
        <v>2</v>
      </c>
      <c r="D102" s="14"/>
      <c r="E102" s="7"/>
      <c r="F102" s="14"/>
      <c r="G102" s="7"/>
      <c r="H102" s="27"/>
      <c r="I102" s="27"/>
      <c r="J102" s="14"/>
      <c r="K102" s="16" t="str">
        <f aca="false">IF(J102="","",J102*1000)</f>
        <v/>
      </c>
      <c r="L102" s="17" t="str">
        <f aca="false">IF(INDEX('1 - Mix Reference'!$H$4:$H$15,MATCH(A102,'1 - Mix Reference'!$A$4:$A$15,0))="","",INDEX('1 - Mix Reference'!$H$4:$H$15,MATCH(A102,'1 - Mix Reference'!$A$4:$A$15,0)))</f>
        <v/>
      </c>
      <c r="M102" s="15" t="str">
        <f aca="false">IF(OR(D102="",F102=""),"",((D102-F102)/D102)*100)</f>
        <v/>
      </c>
      <c r="N102" s="15" t="str">
        <f aca="false">IF(K102="","",K102/10000)</f>
        <v/>
      </c>
      <c r="O102" s="17" t="str">
        <f aca="false">IF(OR(N102="",L102=""),"",(N102/L102)*100)</f>
        <v/>
      </c>
      <c r="P102" s="7"/>
    </row>
    <row r="103" customFormat="false" ht="15.75" hidden="false" customHeight="true" outlineLevel="0" collapsed="false">
      <c r="A103" s="21" t="s">
        <v>85</v>
      </c>
      <c r="B103" s="22" t="n">
        <v>600</v>
      </c>
      <c r="C103" s="22" t="n">
        <v>3</v>
      </c>
      <c r="D103" s="14"/>
      <c r="E103" s="7"/>
      <c r="F103" s="14"/>
      <c r="G103" s="7"/>
      <c r="H103" s="27"/>
      <c r="I103" s="27"/>
      <c r="J103" s="14"/>
      <c r="K103" s="16" t="str">
        <f aca="false">IF(J103="","",J103*1000)</f>
        <v/>
      </c>
      <c r="L103" s="17" t="str">
        <f aca="false">IF(INDEX('1 - Mix Reference'!$H$4:$H$15,MATCH(A103,'1 - Mix Reference'!$A$4:$A$15,0))="","",INDEX('1 - Mix Reference'!$H$4:$H$15,MATCH(A103,'1 - Mix Reference'!$A$4:$A$15,0)))</f>
        <v/>
      </c>
      <c r="M103" s="15" t="str">
        <f aca="false">IF(OR(D103="",F103=""),"",((D103-F103)/D103)*100)</f>
        <v/>
      </c>
      <c r="N103" s="15" t="str">
        <f aca="false">IF(K103="","",K103/10000)</f>
        <v/>
      </c>
      <c r="O103" s="17" t="str">
        <f aca="false">IF(OR(N103="",L103=""),"",(N103/L103)*100)</f>
        <v/>
      </c>
      <c r="P103" s="7"/>
    </row>
    <row r="104" customFormat="false" ht="15.75" hidden="false" customHeight="true" outlineLevel="0" collapsed="false">
      <c r="A104" s="23" t="s">
        <v>86</v>
      </c>
      <c r="B104" s="24" t="n">
        <v>600</v>
      </c>
      <c r="C104" s="24" t="n">
        <v>1</v>
      </c>
      <c r="D104" s="14"/>
      <c r="E104" s="7"/>
      <c r="F104" s="14"/>
      <c r="G104" s="7"/>
      <c r="H104" s="27"/>
      <c r="I104" s="27"/>
      <c r="J104" s="14"/>
      <c r="K104" s="16" t="str">
        <f aca="false">IF(J104="","",J104*1000)</f>
        <v/>
      </c>
      <c r="L104" s="17" t="str">
        <f aca="false">IF(INDEX('1 - Mix Reference'!$H$4:$H$15,MATCH(A104,'1 - Mix Reference'!$A$4:$A$15,0))="","",INDEX('1 - Mix Reference'!$H$4:$H$15,MATCH(A104,'1 - Mix Reference'!$A$4:$A$15,0)))</f>
        <v/>
      </c>
      <c r="M104" s="15" t="str">
        <f aca="false">IF(OR(D104="",F104=""),"",((D104-F104)/D104)*100)</f>
        <v/>
      </c>
      <c r="N104" s="15" t="str">
        <f aca="false">IF(K104="","",K104/10000)</f>
        <v/>
      </c>
      <c r="O104" s="17" t="str">
        <f aca="false">IF(OR(N104="",L104=""),"",(N104/L104)*100)</f>
        <v/>
      </c>
      <c r="P104" s="7"/>
    </row>
    <row r="105" customFormat="false" ht="15.75" hidden="false" customHeight="true" outlineLevel="0" collapsed="false">
      <c r="A105" s="23" t="s">
        <v>86</v>
      </c>
      <c r="B105" s="24" t="n">
        <v>600</v>
      </c>
      <c r="C105" s="24" t="n">
        <v>2</v>
      </c>
      <c r="D105" s="14"/>
      <c r="E105" s="7"/>
      <c r="F105" s="14"/>
      <c r="G105" s="7"/>
      <c r="H105" s="27"/>
      <c r="I105" s="27"/>
      <c r="J105" s="14"/>
      <c r="K105" s="16" t="str">
        <f aca="false">IF(J105="","",J105*1000)</f>
        <v/>
      </c>
      <c r="L105" s="17" t="str">
        <f aca="false">IF(INDEX('1 - Mix Reference'!$H$4:$H$15,MATCH(A105,'1 - Mix Reference'!$A$4:$A$15,0))="","",INDEX('1 - Mix Reference'!$H$4:$H$15,MATCH(A105,'1 - Mix Reference'!$A$4:$A$15,0)))</f>
        <v/>
      </c>
      <c r="M105" s="15" t="str">
        <f aca="false">IF(OR(D105="",F105=""),"",((D105-F105)/D105)*100)</f>
        <v/>
      </c>
      <c r="N105" s="15" t="str">
        <f aca="false">IF(K105="","",K105/10000)</f>
        <v/>
      </c>
      <c r="O105" s="17" t="str">
        <f aca="false">IF(OR(N105="",L105=""),"",(N105/L105)*100)</f>
        <v/>
      </c>
      <c r="P105" s="7"/>
    </row>
    <row r="106" customFormat="false" ht="15.75" hidden="false" customHeight="true" outlineLevel="0" collapsed="false">
      <c r="A106" s="23" t="s">
        <v>86</v>
      </c>
      <c r="B106" s="24" t="n">
        <v>600</v>
      </c>
      <c r="C106" s="24" t="n">
        <v>3</v>
      </c>
      <c r="D106" s="14"/>
      <c r="E106" s="7"/>
      <c r="F106" s="14"/>
      <c r="G106" s="7"/>
      <c r="H106" s="27"/>
      <c r="I106" s="27"/>
      <c r="J106" s="14"/>
      <c r="K106" s="16" t="str">
        <f aca="false">IF(J106="","",J106*1000)</f>
        <v/>
      </c>
      <c r="L106" s="17" t="str">
        <f aca="false">IF(INDEX('1 - Mix Reference'!$H$4:$H$15,MATCH(A106,'1 - Mix Reference'!$A$4:$A$15,0))="","",INDEX('1 - Mix Reference'!$H$4:$H$15,MATCH(A106,'1 - Mix Reference'!$A$4:$A$15,0)))</f>
        <v/>
      </c>
      <c r="M106" s="15" t="str">
        <f aca="false">IF(OR(D106="",F106=""),"",((D106-F106)/D106)*100)</f>
        <v/>
      </c>
      <c r="N106" s="15" t="str">
        <f aca="false">IF(K106="","",K106/10000)</f>
        <v/>
      </c>
      <c r="O106" s="17" t="str">
        <f aca="false">IF(OR(N106="",L106=""),"",(N106/L106)*100)</f>
        <v/>
      </c>
      <c r="P106" s="7"/>
    </row>
    <row r="107" customFormat="false" ht="15.75" hidden="false" customHeight="true" outlineLevel="0" collapsed="false">
      <c r="A107" s="21" t="s">
        <v>88</v>
      </c>
      <c r="B107" s="22" t="n">
        <v>600</v>
      </c>
      <c r="C107" s="22" t="n">
        <v>1</v>
      </c>
      <c r="D107" s="14"/>
      <c r="E107" s="7"/>
      <c r="F107" s="14"/>
      <c r="G107" s="7"/>
      <c r="H107" s="27"/>
      <c r="I107" s="27"/>
      <c r="J107" s="14"/>
      <c r="K107" s="16" t="str">
        <f aca="false">IF(J107="","",J107*1000)</f>
        <v/>
      </c>
      <c r="L107" s="17" t="str">
        <f aca="false">IF(INDEX('1 - Mix Reference'!$H$4:$H$15,MATCH(A107,'1 - Mix Reference'!$A$4:$A$15,0))="","",INDEX('1 - Mix Reference'!$H$4:$H$15,MATCH(A107,'1 - Mix Reference'!$A$4:$A$15,0)))</f>
        <v/>
      </c>
      <c r="M107" s="15" t="str">
        <f aca="false">IF(OR(D107="",F107=""),"",((D107-F107)/D107)*100)</f>
        <v/>
      </c>
      <c r="N107" s="15" t="str">
        <f aca="false">IF(K107="","",K107/10000)</f>
        <v/>
      </c>
      <c r="O107" s="17" t="str">
        <f aca="false">IF(OR(N107="",L107=""),"",(N107/L107)*100)</f>
        <v/>
      </c>
      <c r="P107" s="7"/>
    </row>
    <row r="108" customFormat="false" ht="15.75" hidden="false" customHeight="true" outlineLevel="0" collapsed="false">
      <c r="A108" s="21" t="s">
        <v>88</v>
      </c>
      <c r="B108" s="22" t="n">
        <v>600</v>
      </c>
      <c r="C108" s="22" t="n">
        <v>2</v>
      </c>
      <c r="D108" s="14"/>
      <c r="E108" s="7"/>
      <c r="F108" s="14"/>
      <c r="G108" s="7"/>
      <c r="H108" s="27"/>
      <c r="I108" s="27"/>
      <c r="J108" s="14"/>
      <c r="K108" s="16" t="str">
        <f aca="false">IF(J108="","",J108*1000)</f>
        <v/>
      </c>
      <c r="L108" s="17" t="str">
        <f aca="false">IF(INDEX('1 - Mix Reference'!$H$4:$H$15,MATCH(A108,'1 - Mix Reference'!$A$4:$A$15,0))="","",INDEX('1 - Mix Reference'!$H$4:$H$15,MATCH(A108,'1 - Mix Reference'!$A$4:$A$15,0)))</f>
        <v/>
      </c>
      <c r="M108" s="15" t="str">
        <f aca="false">IF(OR(D108="",F108=""),"",((D108-F108)/D108)*100)</f>
        <v/>
      </c>
      <c r="N108" s="15" t="str">
        <f aca="false">IF(K108="","",K108/10000)</f>
        <v/>
      </c>
      <c r="O108" s="17" t="str">
        <f aca="false">IF(OR(N108="",L108=""),"",(N108/L108)*100)</f>
        <v/>
      </c>
      <c r="P108" s="7"/>
    </row>
    <row r="109" customFormat="false" ht="15.75" hidden="false" customHeight="true" outlineLevel="0" collapsed="false">
      <c r="A109" s="21" t="s">
        <v>88</v>
      </c>
      <c r="B109" s="22" t="n">
        <v>600</v>
      </c>
      <c r="C109" s="22" t="n">
        <v>3</v>
      </c>
      <c r="D109" s="14"/>
      <c r="E109" s="7"/>
      <c r="F109" s="14"/>
      <c r="G109" s="7"/>
      <c r="H109" s="27"/>
      <c r="I109" s="27"/>
      <c r="J109" s="14"/>
      <c r="K109" s="16" t="str">
        <f aca="false">IF(J109="","",J109*1000)</f>
        <v/>
      </c>
      <c r="L109" s="17" t="str">
        <f aca="false">IF(INDEX('1 - Mix Reference'!$H$4:$H$15,MATCH(A109,'1 - Mix Reference'!$A$4:$A$15,0))="","",INDEX('1 - Mix Reference'!$H$4:$H$15,MATCH(A109,'1 - Mix Reference'!$A$4:$A$15,0)))</f>
        <v/>
      </c>
      <c r="M109" s="15" t="str">
        <f aca="false">IF(OR(D109="",F109=""),"",((D109-F109)/D109)*100)</f>
        <v/>
      </c>
      <c r="N109" s="15" t="str">
        <f aca="false">IF(K109="","",K109/10000)</f>
        <v/>
      </c>
      <c r="O109" s="17" t="str">
        <f aca="false">IF(OR(N109="",L109=""),"",(N109/L109)*100)</f>
        <v/>
      </c>
      <c r="P109" s="7"/>
    </row>
    <row r="110" customFormat="false" ht="15.75" hidden="false" customHeight="true" outlineLevel="0" collapsed="false">
      <c r="A110" s="21" t="s">
        <v>89</v>
      </c>
      <c r="B110" s="22" t="n">
        <v>600</v>
      </c>
      <c r="C110" s="22" t="n">
        <v>1</v>
      </c>
      <c r="D110" s="14"/>
      <c r="E110" s="7"/>
      <c r="F110" s="14"/>
      <c r="G110" s="7"/>
      <c r="H110" s="27"/>
      <c r="I110" s="27"/>
      <c r="J110" s="14"/>
      <c r="K110" s="16" t="str">
        <f aca="false">IF(J110="","",J110*1000)</f>
        <v/>
      </c>
      <c r="L110" s="17" t="str">
        <f aca="false">IF(INDEX('1 - Mix Reference'!$H$4:$H$15,MATCH(A110,'1 - Mix Reference'!$A$4:$A$15,0))="","",INDEX('1 - Mix Reference'!$H$4:$H$15,MATCH(A110,'1 - Mix Reference'!$A$4:$A$15,0)))</f>
        <v/>
      </c>
      <c r="M110" s="15" t="str">
        <f aca="false">IF(OR(D110="",F110=""),"",((D110-F110)/D110)*100)</f>
        <v/>
      </c>
      <c r="N110" s="15" t="str">
        <f aca="false">IF(K110="","",K110/10000)</f>
        <v/>
      </c>
      <c r="O110" s="17" t="str">
        <f aca="false">IF(OR(N110="",L110=""),"",(N110/L110)*100)</f>
        <v/>
      </c>
      <c r="P110" s="7"/>
    </row>
    <row r="111" customFormat="false" ht="15.75" hidden="false" customHeight="true" outlineLevel="0" collapsed="false">
      <c r="A111" s="21" t="s">
        <v>89</v>
      </c>
      <c r="B111" s="22" t="n">
        <v>600</v>
      </c>
      <c r="C111" s="22" t="n">
        <v>2</v>
      </c>
      <c r="D111" s="14"/>
      <c r="E111" s="7"/>
      <c r="F111" s="14"/>
      <c r="G111" s="7"/>
      <c r="H111" s="27"/>
      <c r="I111" s="27"/>
      <c r="J111" s="14"/>
      <c r="K111" s="16" t="str">
        <f aca="false">IF(J111="","",J111*1000)</f>
        <v/>
      </c>
      <c r="L111" s="17" t="str">
        <f aca="false">IF(INDEX('1 - Mix Reference'!$H$4:$H$15,MATCH(A111,'1 - Mix Reference'!$A$4:$A$15,0))="","",INDEX('1 - Mix Reference'!$H$4:$H$15,MATCH(A111,'1 - Mix Reference'!$A$4:$A$15,0)))</f>
        <v/>
      </c>
      <c r="M111" s="15" t="str">
        <f aca="false">IF(OR(D111="",F111=""),"",((D111-F111)/D111)*100)</f>
        <v/>
      </c>
      <c r="N111" s="15" t="str">
        <f aca="false">IF(K111="","",K111/10000)</f>
        <v/>
      </c>
      <c r="O111" s="17" t="str">
        <f aca="false">IF(OR(N111="",L111=""),"",(N111/L111)*100)</f>
        <v/>
      </c>
      <c r="P111" s="7"/>
    </row>
    <row r="112" customFormat="false" ht="15.75" hidden="false" customHeight="true" outlineLevel="0" collapsed="false">
      <c r="A112" s="21" t="s">
        <v>89</v>
      </c>
      <c r="B112" s="22" t="n">
        <v>600</v>
      </c>
      <c r="C112" s="22" t="n">
        <v>3</v>
      </c>
      <c r="D112" s="14"/>
      <c r="E112" s="7"/>
      <c r="F112" s="14"/>
      <c r="G112" s="7"/>
      <c r="H112" s="27"/>
      <c r="I112" s="27"/>
      <c r="J112" s="14"/>
      <c r="K112" s="16" t="str">
        <f aca="false">IF(J112="","",J112*1000)</f>
        <v/>
      </c>
      <c r="L112" s="17" t="str">
        <f aca="false">IF(INDEX('1 - Mix Reference'!$H$4:$H$15,MATCH(A112,'1 - Mix Reference'!$A$4:$A$15,0))="","",INDEX('1 - Mix Reference'!$H$4:$H$15,MATCH(A112,'1 - Mix Reference'!$A$4:$A$15,0)))</f>
        <v/>
      </c>
      <c r="M112" s="15" t="str">
        <f aca="false">IF(OR(D112="",F112=""),"",((D112-F112)/D112)*100)</f>
        <v/>
      </c>
      <c r="N112" s="15" t="str">
        <f aca="false">IF(K112="","",K112/10000)</f>
        <v/>
      </c>
      <c r="O112" s="17" t="str">
        <f aca="false">IF(OR(N112="",L112=""),"",(N112/L112)*100)</f>
        <v/>
      </c>
      <c r="P112" s="7"/>
    </row>
    <row r="113" customFormat="false" ht="15.75" hidden="false" customHeight="true" outlineLevel="0" collapsed="false">
      <c r="A113" s="21" t="s">
        <v>70</v>
      </c>
      <c r="B113" s="22" t="n">
        <v>800</v>
      </c>
      <c r="C113" s="22" t="n">
        <v>1</v>
      </c>
      <c r="D113" s="14"/>
      <c r="E113" s="7"/>
      <c r="F113" s="14"/>
      <c r="G113" s="7"/>
      <c r="H113" s="27"/>
      <c r="I113" s="27"/>
      <c r="J113" s="14"/>
      <c r="K113" s="16" t="str">
        <f aca="false">IF(J113="","",J113*1000)</f>
        <v/>
      </c>
      <c r="L113" s="17" t="str">
        <f aca="false">IF(INDEX('1 - Mix Reference'!$H$4:$H$15,MATCH(A113,'1 - Mix Reference'!$A$4:$A$15,0))="","",INDEX('1 - Mix Reference'!$H$4:$H$15,MATCH(A113,'1 - Mix Reference'!$A$4:$A$15,0)))</f>
        <v/>
      </c>
      <c r="M113" s="15" t="str">
        <f aca="false">IF(OR(D113="",F113=""),"",((D113-F113)/D113)*100)</f>
        <v/>
      </c>
      <c r="N113" s="15" t="str">
        <f aca="false">IF(K113="","",K113/10000)</f>
        <v/>
      </c>
      <c r="O113" s="17" t="str">
        <f aca="false">IF(OR(N113="",L113=""),"",(N113/L113)*100)</f>
        <v/>
      </c>
      <c r="P113" s="7"/>
    </row>
    <row r="114" customFormat="false" ht="15.75" hidden="false" customHeight="true" outlineLevel="0" collapsed="false">
      <c r="A114" s="21" t="s">
        <v>70</v>
      </c>
      <c r="B114" s="22" t="n">
        <v>800</v>
      </c>
      <c r="C114" s="22" t="n">
        <v>2</v>
      </c>
      <c r="D114" s="14"/>
      <c r="E114" s="7"/>
      <c r="F114" s="14"/>
      <c r="G114" s="7"/>
      <c r="H114" s="27"/>
      <c r="I114" s="27"/>
      <c r="J114" s="14"/>
      <c r="K114" s="16" t="str">
        <f aca="false">IF(J114="","",J114*1000)</f>
        <v/>
      </c>
      <c r="L114" s="17" t="str">
        <f aca="false">IF(INDEX('1 - Mix Reference'!$H$4:$H$15,MATCH(A114,'1 - Mix Reference'!$A$4:$A$15,0))="","",INDEX('1 - Mix Reference'!$H$4:$H$15,MATCH(A114,'1 - Mix Reference'!$A$4:$A$15,0)))</f>
        <v/>
      </c>
      <c r="M114" s="15" t="str">
        <f aca="false">IF(OR(D114="",F114=""),"",((D114-F114)/D114)*100)</f>
        <v/>
      </c>
      <c r="N114" s="15" t="str">
        <f aca="false">IF(K114="","",K114/10000)</f>
        <v/>
      </c>
      <c r="O114" s="17" t="str">
        <f aca="false">IF(OR(N114="",L114=""),"",(N114/L114)*100)</f>
        <v/>
      </c>
      <c r="P114" s="7"/>
    </row>
    <row r="115" customFormat="false" ht="15.75" hidden="false" customHeight="true" outlineLevel="0" collapsed="false">
      <c r="A115" s="21" t="s">
        <v>70</v>
      </c>
      <c r="B115" s="22" t="n">
        <v>800</v>
      </c>
      <c r="C115" s="22" t="n">
        <v>3</v>
      </c>
      <c r="D115" s="14"/>
      <c r="E115" s="7"/>
      <c r="F115" s="14"/>
      <c r="G115" s="7"/>
      <c r="H115" s="27"/>
      <c r="I115" s="27"/>
      <c r="J115" s="14"/>
      <c r="K115" s="16" t="str">
        <f aca="false">IF(J115="","",J115*1000)</f>
        <v/>
      </c>
      <c r="L115" s="17" t="str">
        <f aca="false">IF(INDEX('1 - Mix Reference'!$H$4:$H$15,MATCH(A115,'1 - Mix Reference'!$A$4:$A$15,0))="","",INDEX('1 - Mix Reference'!$H$4:$H$15,MATCH(A115,'1 - Mix Reference'!$A$4:$A$15,0)))</f>
        <v/>
      </c>
      <c r="M115" s="15" t="str">
        <f aca="false">IF(OR(D115="",F115=""),"",((D115-F115)/D115)*100)</f>
        <v/>
      </c>
      <c r="N115" s="15" t="str">
        <f aca="false">IF(K115="","",K115/10000)</f>
        <v/>
      </c>
      <c r="O115" s="17" t="str">
        <f aca="false">IF(OR(N115="",L115=""),"",(N115/L115)*100)</f>
        <v/>
      </c>
      <c r="P115" s="7"/>
    </row>
    <row r="116" customFormat="false" ht="15.75" hidden="false" customHeight="true" outlineLevel="0" collapsed="false">
      <c r="A116" s="21" t="s">
        <v>74</v>
      </c>
      <c r="B116" s="22" t="n">
        <v>800</v>
      </c>
      <c r="C116" s="22" t="n">
        <v>1</v>
      </c>
      <c r="D116" s="14"/>
      <c r="E116" s="7"/>
      <c r="F116" s="14"/>
      <c r="G116" s="7"/>
      <c r="H116" s="27"/>
      <c r="I116" s="27"/>
      <c r="J116" s="14"/>
      <c r="K116" s="16" t="str">
        <f aca="false">IF(J116="","",J116*1000)</f>
        <v/>
      </c>
      <c r="L116" s="17" t="str">
        <f aca="false">IF(INDEX('1 - Mix Reference'!$H$4:$H$15,MATCH(A116,'1 - Mix Reference'!$A$4:$A$15,0))="","",INDEX('1 - Mix Reference'!$H$4:$H$15,MATCH(A116,'1 - Mix Reference'!$A$4:$A$15,0)))</f>
        <v/>
      </c>
      <c r="M116" s="15" t="str">
        <f aca="false">IF(OR(D116="",F116=""),"",((D116-F116)/D116)*100)</f>
        <v/>
      </c>
      <c r="N116" s="15" t="str">
        <f aca="false">IF(K116="","",K116/10000)</f>
        <v/>
      </c>
      <c r="O116" s="17" t="str">
        <f aca="false">IF(OR(N116="",L116=""),"",(N116/L116)*100)</f>
        <v/>
      </c>
      <c r="P116" s="7"/>
    </row>
    <row r="117" customFormat="false" ht="15.75" hidden="false" customHeight="true" outlineLevel="0" collapsed="false">
      <c r="A117" s="21" t="s">
        <v>74</v>
      </c>
      <c r="B117" s="22" t="n">
        <v>800</v>
      </c>
      <c r="C117" s="22" t="n">
        <v>2</v>
      </c>
      <c r="D117" s="14"/>
      <c r="E117" s="7"/>
      <c r="F117" s="14"/>
      <c r="G117" s="7"/>
      <c r="H117" s="27"/>
      <c r="I117" s="27"/>
      <c r="J117" s="14"/>
      <c r="K117" s="16" t="str">
        <f aca="false">IF(J117="","",J117*1000)</f>
        <v/>
      </c>
      <c r="L117" s="17" t="str">
        <f aca="false">IF(INDEX('1 - Mix Reference'!$H$4:$H$15,MATCH(A117,'1 - Mix Reference'!$A$4:$A$15,0))="","",INDEX('1 - Mix Reference'!$H$4:$H$15,MATCH(A117,'1 - Mix Reference'!$A$4:$A$15,0)))</f>
        <v/>
      </c>
      <c r="M117" s="15" t="str">
        <f aca="false">IF(OR(D117="",F117=""),"",((D117-F117)/D117)*100)</f>
        <v/>
      </c>
      <c r="N117" s="15" t="str">
        <f aca="false">IF(K117="","",K117/10000)</f>
        <v/>
      </c>
      <c r="O117" s="17" t="str">
        <f aca="false">IF(OR(N117="",L117=""),"",(N117/L117)*100)</f>
        <v/>
      </c>
      <c r="P117" s="7"/>
    </row>
    <row r="118" customFormat="false" ht="15.75" hidden="false" customHeight="true" outlineLevel="0" collapsed="false">
      <c r="A118" s="21" t="s">
        <v>74</v>
      </c>
      <c r="B118" s="22" t="n">
        <v>800</v>
      </c>
      <c r="C118" s="22" t="n">
        <v>3</v>
      </c>
      <c r="D118" s="14"/>
      <c r="E118" s="7"/>
      <c r="F118" s="14"/>
      <c r="G118" s="7"/>
      <c r="H118" s="27"/>
      <c r="I118" s="27"/>
      <c r="J118" s="14"/>
      <c r="K118" s="16" t="str">
        <f aca="false">IF(J118="","",J118*1000)</f>
        <v/>
      </c>
      <c r="L118" s="17" t="str">
        <f aca="false">IF(INDEX('1 - Mix Reference'!$H$4:$H$15,MATCH(A118,'1 - Mix Reference'!$A$4:$A$15,0))="","",INDEX('1 - Mix Reference'!$H$4:$H$15,MATCH(A118,'1 - Mix Reference'!$A$4:$A$15,0)))</f>
        <v/>
      </c>
      <c r="M118" s="15" t="str">
        <f aca="false">IF(OR(D118="",F118=""),"",((D118-F118)/D118)*100)</f>
        <v/>
      </c>
      <c r="N118" s="15" t="str">
        <f aca="false">IF(K118="","",K118/10000)</f>
        <v/>
      </c>
      <c r="O118" s="17" t="str">
        <f aca="false">IF(OR(N118="",L118=""),"",(N118/L118)*100)</f>
        <v/>
      </c>
      <c r="P118" s="7"/>
    </row>
    <row r="119" customFormat="false" ht="15.75" hidden="false" customHeight="true" outlineLevel="0" collapsed="false">
      <c r="A119" s="21" t="s">
        <v>76</v>
      </c>
      <c r="B119" s="22" t="n">
        <v>800</v>
      </c>
      <c r="C119" s="22" t="n">
        <v>1</v>
      </c>
      <c r="D119" s="14"/>
      <c r="E119" s="7"/>
      <c r="F119" s="14"/>
      <c r="G119" s="7"/>
      <c r="H119" s="27"/>
      <c r="I119" s="27"/>
      <c r="J119" s="14"/>
      <c r="K119" s="16" t="str">
        <f aca="false">IF(J119="","",J119*1000)</f>
        <v/>
      </c>
      <c r="L119" s="17" t="str">
        <f aca="false">IF(INDEX('1 - Mix Reference'!$H$4:$H$15,MATCH(A119,'1 - Mix Reference'!$A$4:$A$15,0))="","",INDEX('1 - Mix Reference'!$H$4:$H$15,MATCH(A119,'1 - Mix Reference'!$A$4:$A$15,0)))</f>
        <v/>
      </c>
      <c r="M119" s="15" t="str">
        <f aca="false">IF(OR(D119="",F119=""),"",((D119-F119)/D119)*100)</f>
        <v/>
      </c>
      <c r="N119" s="15" t="str">
        <f aca="false">IF(K119="","",K119/10000)</f>
        <v/>
      </c>
      <c r="O119" s="17" t="str">
        <f aca="false">IF(OR(N119="",L119=""),"",(N119/L119)*100)</f>
        <v/>
      </c>
      <c r="P119" s="7"/>
    </row>
    <row r="120" customFormat="false" ht="15.75" hidden="false" customHeight="true" outlineLevel="0" collapsed="false">
      <c r="A120" s="21" t="s">
        <v>76</v>
      </c>
      <c r="B120" s="22" t="n">
        <v>800</v>
      </c>
      <c r="C120" s="22" t="n">
        <v>2</v>
      </c>
      <c r="D120" s="14"/>
      <c r="E120" s="7"/>
      <c r="F120" s="14"/>
      <c r="G120" s="7"/>
      <c r="H120" s="27"/>
      <c r="I120" s="27"/>
      <c r="J120" s="14"/>
      <c r="K120" s="16" t="str">
        <f aca="false">IF(J120="","",J120*1000)</f>
        <v/>
      </c>
      <c r="L120" s="17" t="str">
        <f aca="false">IF(INDEX('1 - Mix Reference'!$H$4:$H$15,MATCH(A120,'1 - Mix Reference'!$A$4:$A$15,0))="","",INDEX('1 - Mix Reference'!$H$4:$H$15,MATCH(A120,'1 - Mix Reference'!$A$4:$A$15,0)))</f>
        <v/>
      </c>
      <c r="M120" s="15" t="str">
        <f aca="false">IF(OR(D120="",F120=""),"",((D120-F120)/D120)*100)</f>
        <v/>
      </c>
      <c r="N120" s="15" t="str">
        <f aca="false">IF(K120="","",K120/10000)</f>
        <v/>
      </c>
      <c r="O120" s="17" t="str">
        <f aca="false">IF(OR(N120="",L120=""),"",(N120/L120)*100)</f>
        <v/>
      </c>
      <c r="P120" s="7"/>
    </row>
    <row r="121" customFormat="false" ht="15.75" hidden="false" customHeight="true" outlineLevel="0" collapsed="false">
      <c r="A121" s="21" t="s">
        <v>76</v>
      </c>
      <c r="B121" s="22" t="n">
        <v>800</v>
      </c>
      <c r="C121" s="22" t="n">
        <v>3</v>
      </c>
      <c r="D121" s="14"/>
      <c r="E121" s="7"/>
      <c r="F121" s="14"/>
      <c r="G121" s="7"/>
      <c r="H121" s="27"/>
      <c r="I121" s="27"/>
      <c r="J121" s="14"/>
      <c r="K121" s="16" t="str">
        <f aca="false">IF(J121="","",J121*1000)</f>
        <v/>
      </c>
      <c r="L121" s="17" t="str">
        <f aca="false">IF(INDEX('1 - Mix Reference'!$H$4:$H$15,MATCH(A121,'1 - Mix Reference'!$A$4:$A$15,0))="","",INDEX('1 - Mix Reference'!$H$4:$H$15,MATCH(A121,'1 - Mix Reference'!$A$4:$A$15,0)))</f>
        <v/>
      </c>
      <c r="M121" s="15" t="str">
        <f aca="false">IF(OR(D121="",F121=""),"",((D121-F121)/D121)*100)</f>
        <v/>
      </c>
      <c r="N121" s="15" t="str">
        <f aca="false">IF(K121="","",K121/10000)</f>
        <v/>
      </c>
      <c r="O121" s="17" t="str">
        <f aca="false">IF(OR(N121="",L121=""),"",(N121/L121)*100)</f>
        <v/>
      </c>
      <c r="P121" s="7"/>
    </row>
    <row r="122" customFormat="false" ht="15.75" hidden="false" customHeight="true" outlineLevel="0" collapsed="false">
      <c r="A122" s="21" t="s">
        <v>77</v>
      </c>
      <c r="B122" s="22" t="n">
        <v>800</v>
      </c>
      <c r="C122" s="22" t="n">
        <v>1</v>
      </c>
      <c r="D122" s="14"/>
      <c r="E122" s="7"/>
      <c r="F122" s="14"/>
      <c r="G122" s="7"/>
      <c r="H122" s="27"/>
      <c r="I122" s="27"/>
      <c r="J122" s="14"/>
      <c r="K122" s="16" t="str">
        <f aca="false">IF(J122="","",J122*1000)</f>
        <v/>
      </c>
      <c r="L122" s="17" t="str">
        <f aca="false">IF(INDEX('1 - Mix Reference'!$H$4:$H$15,MATCH(A122,'1 - Mix Reference'!$A$4:$A$15,0))="","",INDEX('1 - Mix Reference'!$H$4:$H$15,MATCH(A122,'1 - Mix Reference'!$A$4:$A$15,0)))</f>
        <v/>
      </c>
      <c r="M122" s="15" t="str">
        <f aca="false">IF(OR(D122="",F122=""),"",((D122-F122)/D122)*100)</f>
        <v/>
      </c>
      <c r="N122" s="15" t="str">
        <f aca="false">IF(K122="","",K122/10000)</f>
        <v/>
      </c>
      <c r="O122" s="17" t="str">
        <f aca="false">IF(OR(N122="",L122=""),"",(N122/L122)*100)</f>
        <v/>
      </c>
      <c r="P122" s="7"/>
    </row>
    <row r="123" customFormat="false" ht="15.75" hidden="false" customHeight="true" outlineLevel="0" collapsed="false">
      <c r="A123" s="21" t="s">
        <v>77</v>
      </c>
      <c r="B123" s="22" t="n">
        <v>800</v>
      </c>
      <c r="C123" s="22" t="n">
        <v>2</v>
      </c>
      <c r="D123" s="14"/>
      <c r="E123" s="7"/>
      <c r="F123" s="14"/>
      <c r="G123" s="7"/>
      <c r="H123" s="27"/>
      <c r="I123" s="27"/>
      <c r="J123" s="14"/>
      <c r="K123" s="16" t="str">
        <f aca="false">IF(J123="","",J123*1000)</f>
        <v/>
      </c>
      <c r="L123" s="17" t="str">
        <f aca="false">IF(INDEX('1 - Mix Reference'!$H$4:$H$15,MATCH(A123,'1 - Mix Reference'!$A$4:$A$15,0))="","",INDEX('1 - Mix Reference'!$H$4:$H$15,MATCH(A123,'1 - Mix Reference'!$A$4:$A$15,0)))</f>
        <v/>
      </c>
      <c r="M123" s="15" t="str">
        <f aca="false">IF(OR(D123="",F123=""),"",((D123-F123)/D123)*100)</f>
        <v/>
      </c>
      <c r="N123" s="15" t="str">
        <f aca="false">IF(K123="","",K123/10000)</f>
        <v/>
      </c>
      <c r="O123" s="17" t="str">
        <f aca="false">IF(OR(N123="",L123=""),"",(N123/L123)*100)</f>
        <v/>
      </c>
      <c r="P123" s="7"/>
    </row>
    <row r="124" customFormat="false" ht="15.75" hidden="false" customHeight="true" outlineLevel="0" collapsed="false">
      <c r="A124" s="21" t="s">
        <v>77</v>
      </c>
      <c r="B124" s="22" t="n">
        <v>800</v>
      </c>
      <c r="C124" s="22" t="n">
        <v>3</v>
      </c>
      <c r="D124" s="14"/>
      <c r="E124" s="7"/>
      <c r="F124" s="14"/>
      <c r="G124" s="7"/>
      <c r="H124" s="27"/>
      <c r="I124" s="27"/>
      <c r="J124" s="14"/>
      <c r="K124" s="16" t="str">
        <f aca="false">IF(J124="","",J124*1000)</f>
        <v/>
      </c>
      <c r="L124" s="17" t="str">
        <f aca="false">IF(INDEX('1 - Mix Reference'!$H$4:$H$15,MATCH(A124,'1 - Mix Reference'!$A$4:$A$15,0))="","",INDEX('1 - Mix Reference'!$H$4:$H$15,MATCH(A124,'1 - Mix Reference'!$A$4:$A$15,0)))</f>
        <v/>
      </c>
      <c r="M124" s="15" t="str">
        <f aca="false">IF(OR(D124="",F124=""),"",((D124-F124)/D124)*100)</f>
        <v/>
      </c>
      <c r="N124" s="15" t="str">
        <f aca="false">IF(K124="","",K124/10000)</f>
        <v/>
      </c>
      <c r="O124" s="17" t="str">
        <f aca="false">IF(OR(N124="",L124=""),"",(N124/L124)*100)</f>
        <v/>
      </c>
      <c r="P124" s="7"/>
    </row>
    <row r="125" customFormat="false" ht="15.75" hidden="false" customHeight="true" outlineLevel="0" collapsed="false">
      <c r="A125" s="21" t="s">
        <v>78</v>
      </c>
      <c r="B125" s="22" t="n">
        <v>800</v>
      </c>
      <c r="C125" s="22" t="n">
        <v>1</v>
      </c>
      <c r="D125" s="14"/>
      <c r="E125" s="7"/>
      <c r="F125" s="14"/>
      <c r="G125" s="7"/>
      <c r="H125" s="27"/>
      <c r="I125" s="27"/>
      <c r="J125" s="14"/>
      <c r="K125" s="16" t="str">
        <f aca="false">IF(J125="","",J125*1000)</f>
        <v/>
      </c>
      <c r="L125" s="17" t="str">
        <f aca="false">IF(INDEX('1 - Mix Reference'!$H$4:$H$15,MATCH(A125,'1 - Mix Reference'!$A$4:$A$15,0))="","",INDEX('1 - Mix Reference'!$H$4:$H$15,MATCH(A125,'1 - Mix Reference'!$A$4:$A$15,0)))</f>
        <v/>
      </c>
      <c r="M125" s="15" t="str">
        <f aca="false">IF(OR(D125="",F125=""),"",((D125-F125)/D125)*100)</f>
        <v/>
      </c>
      <c r="N125" s="15" t="str">
        <f aca="false">IF(K125="","",K125/10000)</f>
        <v/>
      </c>
      <c r="O125" s="17" t="str">
        <f aca="false">IF(OR(N125="",L125=""),"",(N125/L125)*100)</f>
        <v/>
      </c>
      <c r="P125" s="7"/>
    </row>
    <row r="126" customFormat="false" ht="15.75" hidden="false" customHeight="true" outlineLevel="0" collapsed="false">
      <c r="A126" s="21" t="s">
        <v>78</v>
      </c>
      <c r="B126" s="22" t="n">
        <v>800</v>
      </c>
      <c r="C126" s="22" t="n">
        <v>2</v>
      </c>
      <c r="D126" s="14"/>
      <c r="E126" s="7"/>
      <c r="F126" s="14"/>
      <c r="G126" s="7"/>
      <c r="H126" s="27"/>
      <c r="I126" s="27"/>
      <c r="J126" s="14"/>
      <c r="K126" s="16" t="str">
        <f aca="false">IF(J126="","",J126*1000)</f>
        <v/>
      </c>
      <c r="L126" s="17" t="str">
        <f aca="false">IF(INDEX('1 - Mix Reference'!$H$4:$H$15,MATCH(A126,'1 - Mix Reference'!$A$4:$A$15,0))="","",INDEX('1 - Mix Reference'!$H$4:$H$15,MATCH(A126,'1 - Mix Reference'!$A$4:$A$15,0)))</f>
        <v/>
      </c>
      <c r="M126" s="15" t="str">
        <f aca="false">IF(OR(D126="",F126=""),"",((D126-F126)/D126)*100)</f>
        <v/>
      </c>
      <c r="N126" s="15" t="str">
        <f aca="false">IF(K126="","",K126/10000)</f>
        <v/>
      </c>
      <c r="O126" s="17" t="str">
        <f aca="false">IF(OR(N126="",L126=""),"",(N126/L126)*100)</f>
        <v/>
      </c>
      <c r="P126" s="7"/>
    </row>
    <row r="127" customFormat="false" ht="15.75" hidden="false" customHeight="true" outlineLevel="0" collapsed="false">
      <c r="A127" s="21" t="s">
        <v>78</v>
      </c>
      <c r="B127" s="22" t="n">
        <v>800</v>
      </c>
      <c r="C127" s="22" t="n">
        <v>3</v>
      </c>
      <c r="D127" s="14"/>
      <c r="E127" s="7"/>
      <c r="F127" s="14"/>
      <c r="G127" s="7"/>
      <c r="H127" s="27"/>
      <c r="I127" s="27"/>
      <c r="J127" s="14"/>
      <c r="K127" s="16" t="str">
        <f aca="false">IF(J127="","",J127*1000)</f>
        <v/>
      </c>
      <c r="L127" s="17" t="str">
        <f aca="false">IF(INDEX('1 - Mix Reference'!$H$4:$H$15,MATCH(A127,'1 - Mix Reference'!$A$4:$A$15,0))="","",INDEX('1 - Mix Reference'!$H$4:$H$15,MATCH(A127,'1 - Mix Reference'!$A$4:$A$15,0)))</f>
        <v/>
      </c>
      <c r="M127" s="15" t="str">
        <f aca="false">IF(OR(D127="",F127=""),"",((D127-F127)/D127)*100)</f>
        <v/>
      </c>
      <c r="N127" s="15" t="str">
        <f aca="false">IF(K127="","",K127/10000)</f>
        <v/>
      </c>
      <c r="O127" s="17" t="str">
        <f aca="false">IF(OR(N127="",L127=""),"",(N127/L127)*100)</f>
        <v/>
      </c>
      <c r="P127" s="7"/>
    </row>
    <row r="128" customFormat="false" ht="15.75" hidden="false" customHeight="true" outlineLevel="0" collapsed="false">
      <c r="A128" s="21" t="s">
        <v>79</v>
      </c>
      <c r="B128" s="22" t="n">
        <v>800</v>
      </c>
      <c r="C128" s="22" t="n">
        <v>1</v>
      </c>
      <c r="D128" s="14"/>
      <c r="E128" s="7"/>
      <c r="F128" s="14"/>
      <c r="G128" s="7"/>
      <c r="H128" s="27"/>
      <c r="I128" s="27"/>
      <c r="J128" s="14"/>
      <c r="K128" s="16" t="str">
        <f aca="false">IF(J128="","",J128*1000)</f>
        <v/>
      </c>
      <c r="L128" s="17" t="str">
        <f aca="false">IF(INDEX('1 - Mix Reference'!$H$4:$H$15,MATCH(A128,'1 - Mix Reference'!$A$4:$A$15,0))="","",INDEX('1 - Mix Reference'!$H$4:$H$15,MATCH(A128,'1 - Mix Reference'!$A$4:$A$15,0)))</f>
        <v/>
      </c>
      <c r="M128" s="15" t="str">
        <f aca="false">IF(OR(D128="",F128=""),"",((D128-F128)/D128)*100)</f>
        <v/>
      </c>
      <c r="N128" s="15" t="str">
        <f aca="false">IF(K128="","",K128/10000)</f>
        <v/>
      </c>
      <c r="O128" s="17" t="str">
        <f aca="false">IF(OR(N128="",L128=""),"",(N128/L128)*100)</f>
        <v/>
      </c>
      <c r="P128" s="7"/>
    </row>
    <row r="129" customFormat="false" ht="15.75" hidden="false" customHeight="true" outlineLevel="0" collapsed="false">
      <c r="A129" s="21" t="s">
        <v>79</v>
      </c>
      <c r="B129" s="22" t="n">
        <v>800</v>
      </c>
      <c r="C129" s="22" t="n">
        <v>2</v>
      </c>
      <c r="D129" s="14"/>
      <c r="E129" s="7"/>
      <c r="F129" s="14"/>
      <c r="G129" s="7"/>
      <c r="H129" s="27"/>
      <c r="I129" s="27"/>
      <c r="J129" s="14"/>
      <c r="K129" s="16" t="str">
        <f aca="false">IF(J129="","",J129*1000)</f>
        <v/>
      </c>
      <c r="L129" s="17" t="str">
        <f aca="false">IF(INDEX('1 - Mix Reference'!$H$4:$H$15,MATCH(A129,'1 - Mix Reference'!$A$4:$A$15,0))="","",INDEX('1 - Mix Reference'!$H$4:$H$15,MATCH(A129,'1 - Mix Reference'!$A$4:$A$15,0)))</f>
        <v/>
      </c>
      <c r="M129" s="15" t="str">
        <f aca="false">IF(OR(D129="",F129=""),"",((D129-F129)/D129)*100)</f>
        <v/>
      </c>
      <c r="N129" s="15" t="str">
        <f aca="false">IF(K129="","",K129/10000)</f>
        <v/>
      </c>
      <c r="O129" s="17" t="str">
        <f aca="false">IF(OR(N129="",L129=""),"",(N129/L129)*100)</f>
        <v/>
      </c>
      <c r="P129" s="7"/>
    </row>
    <row r="130" customFormat="false" ht="15.75" hidden="false" customHeight="true" outlineLevel="0" collapsed="false">
      <c r="A130" s="21" t="s">
        <v>79</v>
      </c>
      <c r="B130" s="22" t="n">
        <v>800</v>
      </c>
      <c r="C130" s="22" t="n">
        <v>3</v>
      </c>
      <c r="D130" s="14"/>
      <c r="E130" s="7"/>
      <c r="F130" s="14"/>
      <c r="G130" s="7"/>
      <c r="H130" s="27"/>
      <c r="I130" s="27"/>
      <c r="J130" s="14"/>
      <c r="K130" s="16" t="str">
        <f aca="false">IF(J130="","",J130*1000)</f>
        <v/>
      </c>
      <c r="L130" s="17" t="str">
        <f aca="false">IF(INDEX('1 - Mix Reference'!$H$4:$H$15,MATCH(A130,'1 - Mix Reference'!$A$4:$A$15,0))="","",INDEX('1 - Mix Reference'!$H$4:$H$15,MATCH(A130,'1 - Mix Reference'!$A$4:$A$15,0)))</f>
        <v/>
      </c>
      <c r="M130" s="15" t="str">
        <f aca="false">IF(OR(D130="",F130=""),"",((D130-F130)/D130)*100)</f>
        <v/>
      </c>
      <c r="N130" s="15" t="str">
        <f aca="false">IF(K130="","",K130/10000)</f>
        <v/>
      </c>
      <c r="O130" s="17" t="str">
        <f aca="false">IF(OR(N130="",L130=""),"",(N130/L130)*100)</f>
        <v/>
      </c>
      <c r="P130" s="7"/>
    </row>
    <row r="131" customFormat="false" ht="15.75" hidden="false" customHeight="true" outlineLevel="0" collapsed="false">
      <c r="A131" s="21" t="s">
        <v>81</v>
      </c>
      <c r="B131" s="22" t="n">
        <v>800</v>
      </c>
      <c r="C131" s="22" t="n">
        <v>1</v>
      </c>
      <c r="D131" s="14"/>
      <c r="E131" s="7"/>
      <c r="F131" s="14"/>
      <c r="G131" s="7"/>
      <c r="H131" s="27"/>
      <c r="I131" s="27"/>
      <c r="J131" s="14"/>
      <c r="K131" s="16" t="str">
        <f aca="false">IF(J131="","",J131*1000)</f>
        <v/>
      </c>
      <c r="L131" s="17" t="str">
        <f aca="false">IF(INDEX('1 - Mix Reference'!$H$4:$H$15,MATCH(A131,'1 - Mix Reference'!$A$4:$A$15,0))="","",INDEX('1 - Mix Reference'!$H$4:$H$15,MATCH(A131,'1 - Mix Reference'!$A$4:$A$15,0)))</f>
        <v/>
      </c>
      <c r="M131" s="15" t="str">
        <f aca="false">IF(OR(D131="",F131=""),"",((D131-F131)/D131)*100)</f>
        <v/>
      </c>
      <c r="N131" s="15" t="str">
        <f aca="false">IF(K131="","",K131/10000)</f>
        <v/>
      </c>
      <c r="O131" s="17" t="str">
        <f aca="false">IF(OR(N131="",L131=""),"",(N131/L131)*100)</f>
        <v/>
      </c>
      <c r="P131" s="7"/>
    </row>
    <row r="132" customFormat="false" ht="15.75" hidden="false" customHeight="true" outlineLevel="0" collapsed="false">
      <c r="A132" s="21" t="s">
        <v>81</v>
      </c>
      <c r="B132" s="22" t="n">
        <v>800</v>
      </c>
      <c r="C132" s="22" t="n">
        <v>2</v>
      </c>
      <c r="D132" s="14"/>
      <c r="E132" s="7"/>
      <c r="F132" s="14"/>
      <c r="G132" s="7"/>
      <c r="H132" s="27"/>
      <c r="I132" s="27"/>
      <c r="J132" s="14"/>
      <c r="K132" s="16" t="str">
        <f aca="false">IF(J132="","",J132*1000)</f>
        <v/>
      </c>
      <c r="L132" s="17" t="str">
        <f aca="false">IF(INDEX('1 - Mix Reference'!$H$4:$H$15,MATCH(A132,'1 - Mix Reference'!$A$4:$A$15,0))="","",INDEX('1 - Mix Reference'!$H$4:$H$15,MATCH(A132,'1 - Mix Reference'!$A$4:$A$15,0)))</f>
        <v/>
      </c>
      <c r="M132" s="15" t="str">
        <f aca="false">IF(OR(D132="",F132=""),"",((D132-F132)/D132)*100)</f>
        <v/>
      </c>
      <c r="N132" s="15" t="str">
        <f aca="false">IF(K132="","",K132/10000)</f>
        <v/>
      </c>
      <c r="O132" s="17" t="str">
        <f aca="false">IF(OR(N132="",L132=""),"",(N132/L132)*100)</f>
        <v/>
      </c>
      <c r="P132" s="7"/>
    </row>
    <row r="133" customFormat="false" ht="15.75" hidden="false" customHeight="true" outlineLevel="0" collapsed="false">
      <c r="A133" s="21" t="s">
        <v>81</v>
      </c>
      <c r="B133" s="22" t="n">
        <v>800</v>
      </c>
      <c r="C133" s="22" t="n">
        <v>3</v>
      </c>
      <c r="D133" s="14"/>
      <c r="E133" s="7"/>
      <c r="F133" s="14"/>
      <c r="G133" s="7"/>
      <c r="H133" s="27"/>
      <c r="I133" s="27"/>
      <c r="J133" s="14"/>
      <c r="K133" s="16" t="str">
        <f aca="false">IF(J133="","",J133*1000)</f>
        <v/>
      </c>
      <c r="L133" s="17" t="str">
        <f aca="false">IF(INDEX('1 - Mix Reference'!$H$4:$H$15,MATCH(A133,'1 - Mix Reference'!$A$4:$A$15,0))="","",INDEX('1 - Mix Reference'!$H$4:$H$15,MATCH(A133,'1 - Mix Reference'!$A$4:$A$15,0)))</f>
        <v/>
      </c>
      <c r="M133" s="15" t="str">
        <f aca="false">IF(OR(D133="",F133=""),"",((D133-F133)/D133)*100)</f>
        <v/>
      </c>
      <c r="N133" s="15" t="str">
        <f aca="false">IF(K133="","",K133/10000)</f>
        <v/>
      </c>
      <c r="O133" s="17" t="str">
        <f aca="false">IF(OR(N133="",L133=""),"",(N133/L133)*100)</f>
        <v/>
      </c>
      <c r="P133" s="7"/>
    </row>
    <row r="134" customFormat="false" ht="15.75" hidden="false" customHeight="true" outlineLevel="0" collapsed="false">
      <c r="A134" s="21" t="s">
        <v>83</v>
      </c>
      <c r="B134" s="22" t="n">
        <v>800</v>
      </c>
      <c r="C134" s="22" t="n">
        <v>1</v>
      </c>
      <c r="D134" s="14"/>
      <c r="E134" s="7"/>
      <c r="F134" s="14"/>
      <c r="G134" s="7"/>
      <c r="H134" s="27"/>
      <c r="I134" s="27"/>
      <c r="J134" s="14"/>
      <c r="K134" s="16" t="str">
        <f aca="false">IF(J134="","",J134*1000)</f>
        <v/>
      </c>
      <c r="L134" s="17" t="str">
        <f aca="false">IF(INDEX('1 - Mix Reference'!$H$4:$H$15,MATCH(A134,'1 - Mix Reference'!$A$4:$A$15,0))="","",INDEX('1 - Mix Reference'!$H$4:$H$15,MATCH(A134,'1 - Mix Reference'!$A$4:$A$15,0)))</f>
        <v/>
      </c>
      <c r="M134" s="15" t="str">
        <f aca="false">IF(OR(D134="",F134=""),"",((D134-F134)/D134)*100)</f>
        <v/>
      </c>
      <c r="N134" s="15" t="str">
        <f aca="false">IF(K134="","",K134/10000)</f>
        <v/>
      </c>
      <c r="O134" s="17" t="str">
        <f aca="false">IF(OR(N134="",L134=""),"",(N134/L134)*100)</f>
        <v/>
      </c>
      <c r="P134" s="7"/>
    </row>
    <row r="135" customFormat="false" ht="15.75" hidden="false" customHeight="true" outlineLevel="0" collapsed="false">
      <c r="A135" s="21" t="s">
        <v>83</v>
      </c>
      <c r="B135" s="22" t="n">
        <v>800</v>
      </c>
      <c r="C135" s="22" t="n">
        <v>2</v>
      </c>
      <c r="D135" s="14"/>
      <c r="E135" s="7"/>
      <c r="F135" s="14"/>
      <c r="G135" s="7"/>
      <c r="H135" s="27"/>
      <c r="I135" s="27"/>
      <c r="J135" s="14"/>
      <c r="K135" s="16" t="str">
        <f aca="false">IF(J135="","",J135*1000)</f>
        <v/>
      </c>
      <c r="L135" s="17" t="str">
        <f aca="false">IF(INDEX('1 - Mix Reference'!$H$4:$H$15,MATCH(A135,'1 - Mix Reference'!$A$4:$A$15,0))="","",INDEX('1 - Mix Reference'!$H$4:$H$15,MATCH(A135,'1 - Mix Reference'!$A$4:$A$15,0)))</f>
        <v/>
      </c>
      <c r="M135" s="15" t="str">
        <f aca="false">IF(OR(D135="",F135=""),"",((D135-F135)/D135)*100)</f>
        <v/>
      </c>
      <c r="N135" s="15" t="str">
        <f aca="false">IF(K135="","",K135/10000)</f>
        <v/>
      </c>
      <c r="O135" s="17" t="str">
        <f aca="false">IF(OR(N135="",L135=""),"",(N135/L135)*100)</f>
        <v/>
      </c>
      <c r="P135" s="7"/>
    </row>
    <row r="136" customFormat="false" ht="15.75" hidden="false" customHeight="true" outlineLevel="0" collapsed="false">
      <c r="A136" s="21" t="s">
        <v>83</v>
      </c>
      <c r="B136" s="22" t="n">
        <v>800</v>
      </c>
      <c r="C136" s="22" t="n">
        <v>3</v>
      </c>
      <c r="D136" s="14"/>
      <c r="E136" s="7"/>
      <c r="F136" s="14"/>
      <c r="G136" s="7"/>
      <c r="H136" s="27"/>
      <c r="I136" s="27"/>
      <c r="J136" s="14"/>
      <c r="K136" s="16" t="str">
        <f aca="false">IF(J136="","",J136*1000)</f>
        <v/>
      </c>
      <c r="L136" s="17" t="str">
        <f aca="false">IF(INDEX('1 - Mix Reference'!$H$4:$H$15,MATCH(A136,'1 - Mix Reference'!$A$4:$A$15,0))="","",INDEX('1 - Mix Reference'!$H$4:$H$15,MATCH(A136,'1 - Mix Reference'!$A$4:$A$15,0)))</f>
        <v/>
      </c>
      <c r="M136" s="15" t="str">
        <f aca="false">IF(OR(D136="",F136=""),"",((D136-F136)/D136)*100)</f>
        <v/>
      </c>
      <c r="N136" s="15" t="str">
        <f aca="false">IF(K136="","",K136/10000)</f>
        <v/>
      </c>
      <c r="O136" s="17" t="str">
        <f aca="false">IF(OR(N136="",L136=""),"",(N136/L136)*100)</f>
        <v/>
      </c>
      <c r="P136" s="7"/>
    </row>
    <row r="137" customFormat="false" ht="15.75" hidden="false" customHeight="true" outlineLevel="0" collapsed="false">
      <c r="A137" s="21" t="s">
        <v>85</v>
      </c>
      <c r="B137" s="22" t="n">
        <v>800</v>
      </c>
      <c r="C137" s="22" t="n">
        <v>1</v>
      </c>
      <c r="D137" s="14"/>
      <c r="E137" s="7"/>
      <c r="F137" s="14"/>
      <c r="G137" s="7"/>
      <c r="H137" s="27"/>
      <c r="I137" s="27"/>
      <c r="J137" s="14"/>
      <c r="K137" s="16" t="str">
        <f aca="false">IF(J137="","",J137*1000)</f>
        <v/>
      </c>
      <c r="L137" s="17" t="str">
        <f aca="false">IF(INDEX('1 - Mix Reference'!$H$4:$H$15,MATCH(A137,'1 - Mix Reference'!$A$4:$A$15,0))="","",INDEX('1 - Mix Reference'!$H$4:$H$15,MATCH(A137,'1 - Mix Reference'!$A$4:$A$15,0)))</f>
        <v/>
      </c>
      <c r="M137" s="15" t="str">
        <f aca="false">IF(OR(D137="",F137=""),"",((D137-F137)/D137)*100)</f>
        <v/>
      </c>
      <c r="N137" s="15" t="str">
        <f aca="false">IF(K137="","",K137/10000)</f>
        <v/>
      </c>
      <c r="O137" s="17" t="str">
        <f aca="false">IF(OR(N137="",L137=""),"",(N137/L137)*100)</f>
        <v/>
      </c>
      <c r="P137" s="7"/>
    </row>
    <row r="138" customFormat="false" ht="15.75" hidden="false" customHeight="true" outlineLevel="0" collapsed="false">
      <c r="A138" s="21" t="s">
        <v>85</v>
      </c>
      <c r="B138" s="22" t="n">
        <v>800</v>
      </c>
      <c r="C138" s="22" t="n">
        <v>2</v>
      </c>
      <c r="D138" s="14"/>
      <c r="E138" s="7"/>
      <c r="F138" s="14"/>
      <c r="G138" s="7"/>
      <c r="H138" s="27"/>
      <c r="I138" s="27"/>
      <c r="J138" s="14"/>
      <c r="K138" s="16" t="str">
        <f aca="false">IF(J138="","",J138*1000)</f>
        <v/>
      </c>
      <c r="L138" s="17" t="str">
        <f aca="false">IF(INDEX('1 - Mix Reference'!$H$4:$H$15,MATCH(A138,'1 - Mix Reference'!$A$4:$A$15,0))="","",INDEX('1 - Mix Reference'!$H$4:$H$15,MATCH(A138,'1 - Mix Reference'!$A$4:$A$15,0)))</f>
        <v/>
      </c>
      <c r="M138" s="15" t="str">
        <f aca="false">IF(OR(D138="",F138=""),"",((D138-F138)/D138)*100)</f>
        <v/>
      </c>
      <c r="N138" s="15" t="str">
        <f aca="false">IF(K138="","",K138/10000)</f>
        <v/>
      </c>
      <c r="O138" s="17" t="str">
        <f aca="false">IF(OR(N138="",L138=""),"",(N138/L138)*100)</f>
        <v/>
      </c>
      <c r="P138" s="7"/>
    </row>
    <row r="139" customFormat="false" ht="15.75" hidden="false" customHeight="true" outlineLevel="0" collapsed="false">
      <c r="A139" s="21" t="s">
        <v>85</v>
      </c>
      <c r="B139" s="22" t="n">
        <v>800</v>
      </c>
      <c r="C139" s="22" t="n">
        <v>3</v>
      </c>
      <c r="D139" s="14"/>
      <c r="E139" s="7"/>
      <c r="F139" s="14"/>
      <c r="G139" s="7"/>
      <c r="H139" s="27"/>
      <c r="I139" s="27"/>
      <c r="J139" s="14"/>
      <c r="K139" s="16" t="str">
        <f aca="false">IF(J139="","",J139*1000)</f>
        <v/>
      </c>
      <c r="L139" s="17" t="str">
        <f aca="false">IF(INDEX('1 - Mix Reference'!$H$4:$H$15,MATCH(A139,'1 - Mix Reference'!$A$4:$A$15,0))="","",INDEX('1 - Mix Reference'!$H$4:$H$15,MATCH(A139,'1 - Mix Reference'!$A$4:$A$15,0)))</f>
        <v/>
      </c>
      <c r="M139" s="15" t="str">
        <f aca="false">IF(OR(D139="",F139=""),"",((D139-F139)/D139)*100)</f>
        <v/>
      </c>
      <c r="N139" s="15" t="str">
        <f aca="false">IF(K139="","",K139/10000)</f>
        <v/>
      </c>
      <c r="O139" s="17" t="str">
        <f aca="false">IF(OR(N139="",L139=""),"",(N139/L139)*100)</f>
        <v/>
      </c>
      <c r="P139" s="7"/>
    </row>
    <row r="140" customFormat="false" ht="15.75" hidden="false" customHeight="true" outlineLevel="0" collapsed="false">
      <c r="A140" s="23" t="s">
        <v>86</v>
      </c>
      <c r="B140" s="24" t="n">
        <v>800</v>
      </c>
      <c r="C140" s="24" t="n">
        <v>1</v>
      </c>
      <c r="D140" s="14"/>
      <c r="E140" s="7"/>
      <c r="F140" s="14"/>
      <c r="G140" s="7"/>
      <c r="H140" s="27"/>
      <c r="I140" s="27"/>
      <c r="J140" s="14"/>
      <c r="K140" s="16" t="str">
        <f aca="false">IF(J140="","",J140*1000)</f>
        <v/>
      </c>
      <c r="L140" s="17" t="str">
        <f aca="false">IF(INDEX('1 - Mix Reference'!$H$4:$H$15,MATCH(A140,'1 - Mix Reference'!$A$4:$A$15,0))="","",INDEX('1 - Mix Reference'!$H$4:$H$15,MATCH(A140,'1 - Mix Reference'!$A$4:$A$15,0)))</f>
        <v/>
      </c>
      <c r="M140" s="15" t="str">
        <f aca="false">IF(OR(D140="",F140=""),"",((D140-F140)/D140)*100)</f>
        <v/>
      </c>
      <c r="N140" s="15" t="str">
        <f aca="false">IF(K140="","",K140/10000)</f>
        <v/>
      </c>
      <c r="O140" s="17" t="str">
        <f aca="false">IF(OR(N140="",L140=""),"",(N140/L140)*100)</f>
        <v/>
      </c>
      <c r="P140" s="7"/>
    </row>
    <row r="141" customFormat="false" ht="15.75" hidden="false" customHeight="true" outlineLevel="0" collapsed="false">
      <c r="A141" s="23" t="s">
        <v>86</v>
      </c>
      <c r="B141" s="24" t="n">
        <v>800</v>
      </c>
      <c r="C141" s="24" t="n">
        <v>2</v>
      </c>
      <c r="D141" s="14"/>
      <c r="E141" s="7"/>
      <c r="F141" s="14"/>
      <c r="G141" s="7"/>
      <c r="H141" s="27"/>
      <c r="I141" s="27"/>
      <c r="J141" s="14"/>
      <c r="K141" s="16" t="str">
        <f aca="false">IF(J141="","",J141*1000)</f>
        <v/>
      </c>
      <c r="L141" s="17" t="str">
        <f aca="false">IF(INDEX('1 - Mix Reference'!$H$4:$H$15,MATCH(A141,'1 - Mix Reference'!$A$4:$A$15,0))="","",INDEX('1 - Mix Reference'!$H$4:$H$15,MATCH(A141,'1 - Mix Reference'!$A$4:$A$15,0)))</f>
        <v/>
      </c>
      <c r="M141" s="15" t="str">
        <f aca="false">IF(OR(D141="",F141=""),"",((D141-F141)/D141)*100)</f>
        <v/>
      </c>
      <c r="N141" s="15" t="str">
        <f aca="false">IF(K141="","",K141/10000)</f>
        <v/>
      </c>
      <c r="O141" s="17" t="str">
        <f aca="false">IF(OR(N141="",L141=""),"",(N141/L141)*100)</f>
        <v/>
      </c>
      <c r="P141" s="7"/>
    </row>
    <row r="142" customFormat="false" ht="15.75" hidden="false" customHeight="true" outlineLevel="0" collapsed="false">
      <c r="A142" s="23" t="s">
        <v>86</v>
      </c>
      <c r="B142" s="24" t="n">
        <v>800</v>
      </c>
      <c r="C142" s="24" t="n">
        <v>3</v>
      </c>
      <c r="D142" s="14"/>
      <c r="E142" s="7"/>
      <c r="F142" s="14"/>
      <c r="G142" s="7"/>
      <c r="H142" s="27"/>
      <c r="I142" s="27"/>
      <c r="J142" s="14"/>
      <c r="K142" s="16" t="str">
        <f aca="false">IF(J142="","",J142*1000)</f>
        <v/>
      </c>
      <c r="L142" s="17" t="str">
        <f aca="false">IF(INDEX('1 - Mix Reference'!$H$4:$H$15,MATCH(A142,'1 - Mix Reference'!$A$4:$A$15,0))="","",INDEX('1 - Mix Reference'!$H$4:$H$15,MATCH(A142,'1 - Mix Reference'!$A$4:$A$15,0)))</f>
        <v/>
      </c>
      <c r="M142" s="15" t="str">
        <f aca="false">IF(OR(D142="",F142=""),"",((D142-F142)/D142)*100)</f>
        <v/>
      </c>
      <c r="N142" s="15" t="str">
        <f aca="false">IF(K142="","",K142/10000)</f>
        <v/>
      </c>
      <c r="O142" s="17" t="str">
        <f aca="false">IF(OR(N142="",L142=""),"",(N142/L142)*100)</f>
        <v/>
      </c>
      <c r="P142" s="7"/>
    </row>
    <row r="143" customFormat="false" ht="15.75" hidden="false" customHeight="true" outlineLevel="0" collapsed="false">
      <c r="A143" s="21" t="s">
        <v>88</v>
      </c>
      <c r="B143" s="22" t="n">
        <v>800</v>
      </c>
      <c r="C143" s="22" t="n">
        <v>1</v>
      </c>
      <c r="D143" s="14"/>
      <c r="E143" s="7"/>
      <c r="F143" s="14"/>
      <c r="G143" s="7"/>
      <c r="H143" s="27"/>
      <c r="I143" s="27"/>
      <c r="J143" s="14"/>
      <c r="K143" s="16" t="str">
        <f aca="false">IF(J143="","",J143*1000)</f>
        <v/>
      </c>
      <c r="L143" s="17" t="str">
        <f aca="false">IF(INDEX('1 - Mix Reference'!$H$4:$H$15,MATCH(A143,'1 - Mix Reference'!$A$4:$A$15,0))="","",INDEX('1 - Mix Reference'!$H$4:$H$15,MATCH(A143,'1 - Mix Reference'!$A$4:$A$15,0)))</f>
        <v/>
      </c>
      <c r="M143" s="15" t="str">
        <f aca="false">IF(OR(D143="",F143=""),"",((D143-F143)/D143)*100)</f>
        <v/>
      </c>
      <c r="N143" s="15" t="str">
        <f aca="false">IF(K143="","",K143/10000)</f>
        <v/>
      </c>
      <c r="O143" s="17" t="str">
        <f aca="false">IF(OR(N143="",L143=""),"",(N143/L143)*100)</f>
        <v/>
      </c>
      <c r="P143" s="7"/>
    </row>
    <row r="144" customFormat="false" ht="15.75" hidden="false" customHeight="true" outlineLevel="0" collapsed="false">
      <c r="A144" s="21" t="s">
        <v>88</v>
      </c>
      <c r="B144" s="22" t="n">
        <v>800</v>
      </c>
      <c r="C144" s="22" t="n">
        <v>2</v>
      </c>
      <c r="D144" s="14"/>
      <c r="E144" s="7"/>
      <c r="F144" s="14"/>
      <c r="G144" s="7"/>
      <c r="H144" s="27"/>
      <c r="I144" s="27"/>
      <c r="J144" s="14"/>
      <c r="K144" s="16" t="str">
        <f aca="false">IF(J144="","",J144*1000)</f>
        <v/>
      </c>
      <c r="L144" s="17" t="str">
        <f aca="false">IF(INDEX('1 - Mix Reference'!$H$4:$H$15,MATCH(A144,'1 - Mix Reference'!$A$4:$A$15,0))="","",INDEX('1 - Mix Reference'!$H$4:$H$15,MATCH(A144,'1 - Mix Reference'!$A$4:$A$15,0)))</f>
        <v/>
      </c>
      <c r="M144" s="15" t="str">
        <f aca="false">IF(OR(D144="",F144=""),"",((D144-F144)/D144)*100)</f>
        <v/>
      </c>
      <c r="N144" s="15" t="str">
        <f aca="false">IF(K144="","",K144/10000)</f>
        <v/>
      </c>
      <c r="O144" s="17" t="str">
        <f aca="false">IF(OR(N144="",L144=""),"",(N144/L144)*100)</f>
        <v/>
      </c>
      <c r="P144" s="7"/>
    </row>
    <row r="145" customFormat="false" ht="15.75" hidden="false" customHeight="true" outlineLevel="0" collapsed="false">
      <c r="A145" s="21" t="s">
        <v>88</v>
      </c>
      <c r="B145" s="22" t="n">
        <v>800</v>
      </c>
      <c r="C145" s="22" t="n">
        <v>3</v>
      </c>
      <c r="D145" s="14"/>
      <c r="E145" s="7"/>
      <c r="F145" s="14"/>
      <c r="G145" s="7"/>
      <c r="H145" s="27"/>
      <c r="I145" s="27"/>
      <c r="J145" s="14"/>
      <c r="K145" s="16" t="str">
        <f aca="false">IF(J145="","",J145*1000)</f>
        <v/>
      </c>
      <c r="L145" s="17" t="str">
        <f aca="false">IF(INDEX('1 - Mix Reference'!$H$4:$H$15,MATCH(A145,'1 - Mix Reference'!$A$4:$A$15,0))="","",INDEX('1 - Mix Reference'!$H$4:$H$15,MATCH(A145,'1 - Mix Reference'!$A$4:$A$15,0)))</f>
        <v/>
      </c>
      <c r="M145" s="15" t="str">
        <f aca="false">IF(OR(D145="",F145=""),"",((D145-F145)/D145)*100)</f>
        <v/>
      </c>
      <c r="N145" s="15" t="str">
        <f aca="false">IF(K145="","",K145/10000)</f>
        <v/>
      </c>
      <c r="O145" s="17" t="str">
        <f aca="false">IF(OR(N145="",L145=""),"",(N145/L145)*100)</f>
        <v/>
      </c>
      <c r="P145" s="7"/>
    </row>
    <row r="146" customFormat="false" ht="15.75" hidden="false" customHeight="true" outlineLevel="0" collapsed="false">
      <c r="A146" s="21" t="s">
        <v>89</v>
      </c>
      <c r="B146" s="22" t="n">
        <v>800</v>
      </c>
      <c r="C146" s="22" t="n">
        <v>1</v>
      </c>
      <c r="D146" s="14"/>
      <c r="E146" s="7"/>
      <c r="F146" s="14"/>
      <c r="G146" s="7"/>
      <c r="H146" s="27"/>
      <c r="I146" s="27"/>
      <c r="J146" s="14"/>
      <c r="K146" s="16" t="str">
        <f aca="false">IF(J146="","",J146*1000)</f>
        <v/>
      </c>
      <c r="L146" s="17" t="str">
        <f aca="false">IF(INDEX('1 - Mix Reference'!$H$4:$H$15,MATCH(A146,'1 - Mix Reference'!$A$4:$A$15,0))="","",INDEX('1 - Mix Reference'!$H$4:$H$15,MATCH(A146,'1 - Mix Reference'!$A$4:$A$15,0)))</f>
        <v/>
      </c>
      <c r="M146" s="15" t="str">
        <f aca="false">IF(OR(D146="",F146=""),"",((D146-F146)/D146)*100)</f>
        <v/>
      </c>
      <c r="N146" s="15" t="str">
        <f aca="false">IF(K146="","",K146/10000)</f>
        <v/>
      </c>
      <c r="O146" s="17" t="str">
        <f aca="false">IF(OR(N146="",L146=""),"",(N146/L146)*100)</f>
        <v/>
      </c>
      <c r="P146" s="7"/>
    </row>
    <row r="147" customFormat="false" ht="15.75" hidden="false" customHeight="true" outlineLevel="0" collapsed="false">
      <c r="A147" s="21" t="s">
        <v>89</v>
      </c>
      <c r="B147" s="22" t="n">
        <v>800</v>
      </c>
      <c r="C147" s="22" t="n">
        <v>2</v>
      </c>
      <c r="D147" s="14"/>
      <c r="E147" s="7"/>
      <c r="F147" s="14"/>
      <c r="G147" s="7"/>
      <c r="H147" s="27"/>
      <c r="I147" s="27"/>
      <c r="J147" s="14"/>
      <c r="K147" s="16" t="str">
        <f aca="false">IF(J147="","",J147*1000)</f>
        <v/>
      </c>
      <c r="L147" s="17" t="str">
        <f aca="false">IF(INDEX('1 - Mix Reference'!$H$4:$H$15,MATCH(A147,'1 - Mix Reference'!$A$4:$A$15,0))="","",INDEX('1 - Mix Reference'!$H$4:$H$15,MATCH(A147,'1 - Mix Reference'!$A$4:$A$15,0)))</f>
        <v/>
      </c>
      <c r="M147" s="15" t="str">
        <f aca="false">IF(OR(D147="",F147=""),"",((D147-F147)/D147)*100)</f>
        <v/>
      </c>
      <c r="N147" s="15" t="str">
        <f aca="false">IF(K147="","",K147/10000)</f>
        <v/>
      </c>
      <c r="O147" s="17" t="str">
        <f aca="false">IF(OR(N147="",L147=""),"",(N147/L147)*100)</f>
        <v/>
      </c>
      <c r="P147" s="7"/>
    </row>
    <row r="148" customFormat="false" ht="15.75" hidden="false" customHeight="true" outlineLevel="0" collapsed="false">
      <c r="A148" s="21" t="s">
        <v>89</v>
      </c>
      <c r="B148" s="22" t="n">
        <v>800</v>
      </c>
      <c r="C148" s="22" t="n">
        <v>3</v>
      </c>
      <c r="D148" s="14"/>
      <c r="E148" s="7"/>
      <c r="F148" s="14"/>
      <c r="G148" s="7"/>
      <c r="H148" s="27"/>
      <c r="I148" s="27"/>
      <c r="J148" s="14"/>
      <c r="K148" s="16" t="str">
        <f aca="false">IF(J148="","",J148*1000)</f>
        <v/>
      </c>
      <c r="L148" s="17" t="str">
        <f aca="false">IF(INDEX('1 - Mix Reference'!$H$4:$H$15,MATCH(A148,'1 - Mix Reference'!$A$4:$A$15,0))="","",INDEX('1 - Mix Reference'!$H$4:$H$15,MATCH(A148,'1 - Mix Reference'!$A$4:$A$15,0)))</f>
        <v/>
      </c>
      <c r="M148" s="15" t="str">
        <f aca="false">IF(OR(D148="",F148=""),"",((D148-F148)/D148)*100)</f>
        <v/>
      </c>
      <c r="N148" s="15" t="str">
        <f aca="false">IF(K148="","",K148/10000)</f>
        <v/>
      </c>
      <c r="O148" s="17" t="str">
        <f aca="false">IF(OR(N148="",L148=""),"",(N148/L148)*100)</f>
        <v/>
      </c>
      <c r="P148" s="7"/>
    </row>
  </sheetData>
  <mergeCells count="7">
    <mergeCell ref="A1:P1"/>
    <mergeCell ref="A2:P2"/>
    <mergeCell ref="A3:C3"/>
    <mergeCell ref="D3:E3"/>
    <mergeCell ref="F3:I3"/>
    <mergeCell ref="J3:L3"/>
    <mergeCell ref="M3:P3"/>
  </mergeCells>
  <conditionalFormatting sqref="F5:F148">
    <cfRule type="expression" priority="2" aboveAverage="0" equalAverage="0" bottom="0" percent="0" rank="0" text="" dxfId="0">
      <formula>AND(F5&lt;&gt;"",D5&lt;&gt;"",F5&gt;D5)</formula>
    </cfRule>
  </conditionalFormatting>
  <dataValidations count="2">
    <dataValidation allowBlank="true" errorStyle="stop" operator="between" showDropDown="false" showErrorMessage="false" showInputMessage="false" sqref="H5:I148" type="list">
      <formula1>"Y,N"</formula1>
      <formula2>0</formula2>
    </dataValidation>
    <dataValidation allowBlank="true" error="Enter a positive number (mass in g, load in kN)." errorStyle="stop" errorTitle="Check value" operator="greaterThan" showDropDown="false" showErrorMessage="false" showInputMessage="false" sqref="D5:D148 F5:F148 J5:J14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V1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9.3"/>
  </cols>
  <sheetData>
    <row r="1" customFormat="false" ht="27.75" hidden="false" customHeight="true" outlineLevel="0" collapsed="false">
      <c r="A1" s="18" t="s">
        <v>113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customFormat="false" ht="30" hidden="false" customHeight="true" outlineLevel="0" collapsed="false">
      <c r="A2" s="19" t="s">
        <v>114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4" customFormat="false" ht="21" hidden="false" customHeight="true" outlineLevel="0" collapsed="false">
      <c r="A4" s="28" t="s">
        <v>115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25" customFormat="false" ht="21" hidden="false" customHeight="true" outlineLevel="0" collapsed="false">
      <c r="A25" s="28" t="s">
        <v>116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46" customFormat="false" ht="21" hidden="false" customHeight="true" outlineLevel="0" collapsed="false">
      <c r="A46" s="28" t="s">
        <v>117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67" customFormat="false" ht="21" hidden="false" customHeight="true" outlineLevel="0" collapsed="false">
      <c r="A67" s="28" t="s">
        <v>118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108" customFormat="false" ht="21" hidden="false" customHeight="true" outlineLevel="0" collapsed="false">
      <c r="A108" s="28" t="s">
        <v>119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</sheetData>
  <mergeCells count="7">
    <mergeCell ref="A1:V1"/>
    <mergeCell ref="A2:V2"/>
    <mergeCell ref="A4:V4"/>
    <mergeCell ref="A25:V25"/>
    <mergeCell ref="A46:V46"/>
    <mergeCell ref="A67:V67"/>
    <mergeCell ref="A108:V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0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8" t="s">
        <v>120</v>
      </c>
      <c r="B1" s="18"/>
      <c r="C1" s="18"/>
      <c r="D1" s="18"/>
      <c r="E1" s="18"/>
      <c r="F1" s="18"/>
      <c r="G1" s="18"/>
    </row>
    <row r="2" customFormat="false" ht="30" hidden="false" customHeight="true" outlineLevel="0" collapsed="false">
      <c r="A2" s="19" t="s">
        <v>121</v>
      </c>
      <c r="B2" s="19"/>
      <c r="C2" s="19"/>
      <c r="D2" s="19"/>
      <c r="E2" s="19"/>
      <c r="F2" s="19"/>
      <c r="G2" s="19"/>
    </row>
    <row r="3" customFormat="false" ht="36" hidden="false" customHeight="true" outlineLevel="0" collapsed="false">
      <c r="A3" s="2" t="s">
        <v>62</v>
      </c>
      <c r="B3" s="2" t="s">
        <v>67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68</v>
      </c>
    </row>
    <row r="4" customFormat="false" ht="15" hidden="false" customHeight="false" outlineLevel="0" collapsed="false">
      <c r="A4" s="29" t="s">
        <v>70</v>
      </c>
      <c r="B4" s="30" t="s">
        <v>126</v>
      </c>
      <c r="C4" s="17" t="str">
        <f aca="false">IF(COUNT('2 - Raw Data Entry'!O5:O7)&lt;3,"Data pending",AVERAGE('2 - Raw Data Entry'!O5:O7))</f>
        <v>Data pending</v>
      </c>
      <c r="D4" s="17" t="str">
        <f aca="false">IF(COUNT('2 - Raw Data Entry'!O41:O43)&lt;3,"Data pending",AVERAGE('2 - Raw Data Entry'!O41:O43))</f>
        <v>Data pending</v>
      </c>
      <c r="E4" s="17" t="str">
        <f aca="false">IF(COUNT('2 - Raw Data Entry'!O77:O79)&lt;3,"Data pending",AVERAGE('2 - Raw Data Entry'!O77:O79))</f>
        <v>Data pending</v>
      </c>
      <c r="F4" s="17" t="str">
        <f aca="false">IF(COUNT('2 - Raw Data Entry'!O113:O115)&lt;3,"Data pending",AVERAGE('2 - Raw Data Entry'!O113:O115))</f>
        <v>Data pending</v>
      </c>
      <c r="G4" s="13" t="s">
        <v>73</v>
      </c>
    </row>
    <row r="5" customFormat="false" ht="15" hidden="false" customHeight="false" outlineLevel="0" collapsed="false">
      <c r="A5" s="29" t="s">
        <v>74</v>
      </c>
      <c r="B5" s="30" t="s">
        <v>127</v>
      </c>
      <c r="C5" s="17" t="str">
        <f aca="false">IF(COUNT('2 - Raw Data Entry'!O8:O10)&lt;3,"Data pending",AVERAGE('2 - Raw Data Entry'!O8:O10))</f>
        <v>Data pending</v>
      </c>
      <c r="D5" s="17" t="str">
        <f aca="false">IF(COUNT('2 - Raw Data Entry'!O44:O46)&lt;3,"Data pending",AVERAGE('2 - Raw Data Entry'!O44:O46))</f>
        <v>Data pending</v>
      </c>
      <c r="E5" s="17" t="str">
        <f aca="false">IF(COUNT('2 - Raw Data Entry'!O80:O82)&lt;3,"Data pending",AVERAGE('2 - Raw Data Entry'!O80:O82))</f>
        <v>Data pending</v>
      </c>
      <c r="F5" s="17" t="str">
        <f aca="false">IF(COUNT('2 - Raw Data Entry'!O116:O118)&lt;3,"Data pending",AVERAGE('2 - Raw Data Entry'!O116:O118))</f>
        <v>Data pending</v>
      </c>
      <c r="G5" s="13"/>
    </row>
    <row r="6" customFormat="false" ht="15" hidden="false" customHeight="false" outlineLevel="0" collapsed="false">
      <c r="A6" s="29" t="s">
        <v>76</v>
      </c>
      <c r="B6" s="30" t="s">
        <v>128</v>
      </c>
      <c r="C6" s="17" t="str">
        <f aca="false">IF(COUNT('2 - Raw Data Entry'!O11:O13)&lt;3,"Data pending",AVERAGE('2 - Raw Data Entry'!O11:O13))</f>
        <v>Data pending</v>
      </c>
      <c r="D6" s="17" t="str">
        <f aca="false">IF(COUNT('2 - Raw Data Entry'!O47:O49)&lt;3,"Data pending",AVERAGE('2 - Raw Data Entry'!O47:O49))</f>
        <v>Data pending</v>
      </c>
      <c r="E6" s="17" t="str">
        <f aca="false">IF(COUNT('2 - Raw Data Entry'!O83:O85)&lt;3,"Data pending",AVERAGE('2 - Raw Data Entry'!O83:O85))</f>
        <v>Data pending</v>
      </c>
      <c r="F6" s="17" t="str">
        <f aca="false">IF(COUNT('2 - Raw Data Entry'!O119:O121)&lt;3,"Data pending",AVERAGE('2 - Raw Data Entry'!O119:O121))</f>
        <v>Data pending</v>
      </c>
      <c r="G6" s="13"/>
    </row>
    <row r="7" customFormat="false" ht="15" hidden="false" customHeight="false" outlineLevel="0" collapsed="false">
      <c r="A7" s="29" t="s">
        <v>77</v>
      </c>
      <c r="B7" s="30" t="s">
        <v>129</v>
      </c>
      <c r="C7" s="17" t="str">
        <f aca="false">IF(COUNT('2 - Raw Data Entry'!O14:O16)&lt;3,"Data pending",AVERAGE('2 - Raw Data Entry'!O14:O16))</f>
        <v>Data pending</v>
      </c>
      <c r="D7" s="17" t="str">
        <f aca="false">IF(COUNT('2 - Raw Data Entry'!O50:O52)&lt;3,"Data pending",AVERAGE('2 - Raw Data Entry'!O50:O52))</f>
        <v>Data pending</v>
      </c>
      <c r="E7" s="17" t="str">
        <f aca="false">IF(COUNT('2 - Raw Data Entry'!O86:O88)&lt;3,"Data pending",AVERAGE('2 - Raw Data Entry'!O86:O88))</f>
        <v>Data pending</v>
      </c>
      <c r="F7" s="17" t="str">
        <f aca="false">IF(COUNT('2 - Raw Data Entry'!O122:O124)&lt;3,"Data pending",AVERAGE('2 - Raw Data Entry'!O122:O124))</f>
        <v>Data pending</v>
      </c>
      <c r="G7" s="13"/>
    </row>
    <row r="8" customFormat="false" ht="15" hidden="false" customHeight="false" outlineLevel="0" collapsed="false">
      <c r="A8" s="29" t="s">
        <v>78</v>
      </c>
      <c r="B8" s="30" t="s">
        <v>130</v>
      </c>
      <c r="C8" s="17" t="str">
        <f aca="false">IF(COUNT('2 - Raw Data Entry'!O17:O19)&lt;3,"Data pending",AVERAGE('2 - Raw Data Entry'!O17:O19))</f>
        <v>Data pending</v>
      </c>
      <c r="D8" s="17" t="str">
        <f aca="false">IF(COUNT('2 - Raw Data Entry'!O53:O55)&lt;3,"Data pending",AVERAGE('2 - Raw Data Entry'!O53:O55))</f>
        <v>Data pending</v>
      </c>
      <c r="E8" s="17" t="str">
        <f aca="false">IF(COUNT('2 - Raw Data Entry'!O89:O91)&lt;3,"Data pending",AVERAGE('2 - Raw Data Entry'!O89:O91))</f>
        <v>Data pending</v>
      </c>
      <c r="F8" s="17" t="str">
        <f aca="false">IF(COUNT('2 - Raw Data Entry'!O125:O127)&lt;3,"Data pending",AVERAGE('2 - Raw Data Entry'!O125:O127))</f>
        <v>Data pending</v>
      </c>
      <c r="G8" s="13"/>
    </row>
    <row r="9" customFormat="false" ht="15" hidden="false" customHeight="false" outlineLevel="0" collapsed="false">
      <c r="A9" s="29" t="s">
        <v>79</v>
      </c>
      <c r="B9" s="30" t="s">
        <v>131</v>
      </c>
      <c r="C9" s="17" t="str">
        <f aca="false">IF(COUNT('2 - Raw Data Entry'!O20:O22)&lt;3,"Data pending",AVERAGE('2 - Raw Data Entry'!O20:O22))</f>
        <v>Data pending</v>
      </c>
      <c r="D9" s="17" t="str">
        <f aca="false">IF(COUNT('2 - Raw Data Entry'!O56:O58)&lt;3,"Data pending",AVERAGE('2 - Raw Data Entry'!O56:O58))</f>
        <v>Data pending</v>
      </c>
      <c r="E9" s="17" t="str">
        <f aca="false">IF(COUNT('2 - Raw Data Entry'!O92:O94)&lt;3,"Data pending",AVERAGE('2 - Raw Data Entry'!O92:O94))</f>
        <v>Data pending</v>
      </c>
      <c r="F9" s="17" t="str">
        <f aca="false">IF(COUNT('2 - Raw Data Entry'!O128:O130)&lt;3,"Data pending",AVERAGE('2 - Raw Data Entry'!O128:O130))</f>
        <v>Data pending</v>
      </c>
      <c r="G9" s="13" t="s">
        <v>80</v>
      </c>
    </row>
    <row r="10" customFormat="false" ht="15" hidden="false" customHeight="false" outlineLevel="0" collapsed="false">
      <c r="A10" s="29" t="s">
        <v>81</v>
      </c>
      <c r="B10" s="30" t="s">
        <v>132</v>
      </c>
      <c r="C10" s="17" t="str">
        <f aca="false">IF(COUNT('2 - Raw Data Entry'!O23:O25)&lt;3,"Data pending",AVERAGE('2 - Raw Data Entry'!O23:O25))</f>
        <v>Data pending</v>
      </c>
      <c r="D10" s="17" t="str">
        <f aca="false">IF(COUNT('2 - Raw Data Entry'!O59:O61)&lt;3,"Data pending",AVERAGE('2 - Raw Data Entry'!O59:O61))</f>
        <v>Data pending</v>
      </c>
      <c r="E10" s="17" t="str">
        <f aca="false">IF(COUNT('2 - Raw Data Entry'!O95:O97)&lt;3,"Data pending",AVERAGE('2 - Raw Data Entry'!O95:O97))</f>
        <v>Data pending</v>
      </c>
      <c r="F10" s="17" t="str">
        <f aca="false">IF(COUNT('2 - Raw Data Entry'!O131:O133)&lt;3,"Data pending",AVERAGE('2 - Raw Data Entry'!O131:O133))</f>
        <v>Data pending</v>
      </c>
      <c r="G10" s="13" t="s">
        <v>73</v>
      </c>
    </row>
    <row r="11" customFormat="false" ht="15" hidden="false" customHeight="false" outlineLevel="0" collapsed="false">
      <c r="A11" s="29" t="s">
        <v>83</v>
      </c>
      <c r="B11" s="30" t="s">
        <v>133</v>
      </c>
      <c r="C11" s="17" t="str">
        <f aca="false">IF(COUNT('2 - Raw Data Entry'!O26:O28)&lt;3,"Data pending",AVERAGE('2 - Raw Data Entry'!O26:O28))</f>
        <v>Data pending</v>
      </c>
      <c r="D11" s="17" t="str">
        <f aca="false">IF(COUNT('2 - Raw Data Entry'!O62:O64)&lt;3,"Data pending",AVERAGE('2 - Raw Data Entry'!O62:O64))</f>
        <v>Data pending</v>
      </c>
      <c r="E11" s="17" t="str">
        <f aca="false">IF(COUNT('2 - Raw Data Entry'!O98:O100)&lt;3,"Data pending",AVERAGE('2 - Raw Data Entry'!O98:O100))</f>
        <v>Data pending</v>
      </c>
      <c r="F11" s="17" t="str">
        <f aca="false">IF(COUNT('2 - Raw Data Entry'!O134:O136)&lt;3,"Data pending",AVERAGE('2 - Raw Data Entry'!O134:O136))</f>
        <v>Data pending</v>
      </c>
      <c r="G11" s="13"/>
    </row>
    <row r="12" customFormat="false" ht="15" hidden="false" customHeight="false" outlineLevel="0" collapsed="false">
      <c r="A12" s="29" t="s">
        <v>85</v>
      </c>
      <c r="B12" s="30" t="s">
        <v>134</v>
      </c>
      <c r="C12" s="17" t="str">
        <f aca="false">IF(COUNT('2 - Raw Data Entry'!O29:O31)&lt;3,"Data pending",AVERAGE('2 - Raw Data Entry'!O29:O31))</f>
        <v>Data pending</v>
      </c>
      <c r="D12" s="17" t="str">
        <f aca="false">IF(COUNT('2 - Raw Data Entry'!O65:O67)&lt;3,"Data pending",AVERAGE('2 - Raw Data Entry'!O65:O67))</f>
        <v>Data pending</v>
      </c>
      <c r="E12" s="17" t="str">
        <f aca="false">IF(COUNT('2 - Raw Data Entry'!O101:O103)&lt;3,"Data pending",AVERAGE('2 - Raw Data Entry'!O101:O103))</f>
        <v>Data pending</v>
      </c>
      <c r="F12" s="17" t="str">
        <f aca="false">IF(COUNT('2 - Raw Data Entry'!O137:O139)&lt;3,"Data pending",AVERAGE('2 - Raw Data Entry'!O137:O139))</f>
        <v>Data pending</v>
      </c>
      <c r="G12" s="13"/>
    </row>
    <row r="13" customFormat="false" ht="15" hidden="false" customHeight="false" outlineLevel="0" collapsed="false">
      <c r="A13" s="23" t="s">
        <v>86</v>
      </c>
      <c r="B13" s="24" t="s">
        <v>135</v>
      </c>
      <c r="C13" s="17" t="str">
        <f aca="false">IF(COUNT('2 - Raw Data Entry'!O32:O34)&lt;3,"Data pending",AVERAGE('2 - Raw Data Entry'!O32:O34))</f>
        <v>Data pending</v>
      </c>
      <c r="D13" s="17" t="str">
        <f aca="false">IF(COUNT('2 - Raw Data Entry'!O68:O70)&lt;3,"Data pending",AVERAGE('2 - Raw Data Entry'!O68:O70))</f>
        <v>Data pending</v>
      </c>
      <c r="E13" s="17" t="str">
        <f aca="false">IF(COUNT('2 - Raw Data Entry'!O104:O106)&lt;3,"Data pending",AVERAGE('2 - Raw Data Entry'!O104:O106))</f>
        <v>Data pending</v>
      </c>
      <c r="F13" s="17" t="str">
        <f aca="false">IF(COUNT('2 - Raw Data Entry'!O140:O142)&lt;3,"Data pending",AVERAGE('2 - Raw Data Entry'!O140:O142))</f>
        <v>Data pending</v>
      </c>
      <c r="G13" s="10" t="s">
        <v>87</v>
      </c>
    </row>
    <row r="14" customFormat="false" ht="15" hidden="false" customHeight="false" outlineLevel="0" collapsed="false">
      <c r="A14" s="29" t="s">
        <v>88</v>
      </c>
      <c r="B14" s="30" t="s">
        <v>136</v>
      </c>
      <c r="C14" s="17" t="str">
        <f aca="false">IF(COUNT('2 - Raw Data Entry'!O35:O37)&lt;3,"Data pending",AVERAGE('2 - Raw Data Entry'!O35:O37))</f>
        <v>Data pending</v>
      </c>
      <c r="D14" s="17" t="str">
        <f aca="false">IF(COUNT('2 - Raw Data Entry'!O71:O73)&lt;3,"Data pending",AVERAGE('2 - Raw Data Entry'!O71:O73))</f>
        <v>Data pending</v>
      </c>
      <c r="E14" s="17" t="str">
        <f aca="false">IF(COUNT('2 - Raw Data Entry'!O107:O109)&lt;3,"Data pending",AVERAGE('2 - Raw Data Entry'!O107:O109))</f>
        <v>Data pending</v>
      </c>
      <c r="F14" s="17" t="str">
        <f aca="false">IF(COUNT('2 - Raw Data Entry'!O143:O145)&lt;3,"Data pending",AVERAGE('2 - Raw Data Entry'!O143:O145))</f>
        <v>Data pending</v>
      </c>
      <c r="G14" s="13"/>
    </row>
    <row r="15" customFormat="false" ht="15" hidden="false" customHeight="false" outlineLevel="0" collapsed="false">
      <c r="A15" s="29" t="s">
        <v>89</v>
      </c>
      <c r="B15" s="30" t="s">
        <v>137</v>
      </c>
      <c r="C15" s="17" t="str">
        <f aca="false">IF(COUNT('2 - Raw Data Entry'!O38:O40)&lt;3,"Data pending",AVERAGE('2 - Raw Data Entry'!O38:O40))</f>
        <v>Data pending</v>
      </c>
      <c r="D15" s="17" t="str">
        <f aca="false">IF(COUNT('2 - Raw Data Entry'!O74:O76)&lt;3,"Data pending",AVERAGE('2 - Raw Data Entry'!O74:O76))</f>
        <v>Data pending</v>
      </c>
      <c r="E15" s="17" t="str">
        <f aca="false">IF(COUNT('2 - Raw Data Entry'!O110:O112)&lt;3,"Data pending",AVERAGE('2 - Raw Data Entry'!O110:O112))</f>
        <v>Data pending</v>
      </c>
      <c r="F15" s="17" t="str">
        <f aca="false">IF(COUNT('2 - Raw Data Entry'!O146:O148)&lt;3,"Data pending",AVERAGE('2 - Raw Data Entry'!O146:O148))</f>
        <v>Data pending</v>
      </c>
      <c r="G15" s="13" t="s">
        <v>80</v>
      </c>
    </row>
    <row r="17" customFormat="false" ht="15" hidden="false" customHeight="true" outlineLevel="0" collapsed="false">
      <c r="A17" s="31" t="s">
        <v>138</v>
      </c>
      <c r="B17" s="31"/>
      <c r="C17" s="23" t="str">
        <f aca="false">IFERROR(INDEX($A$4:$A$15,MATCH(MAX(C4:C15),C4:C15,0)),"—")</f>
        <v>—</v>
      </c>
      <c r="D17" s="23" t="str">
        <f aca="false">IFERROR(INDEX($A$4:$A$15,MATCH(MAX(D4:D15),D4:D15,0)),"—")</f>
        <v>—</v>
      </c>
      <c r="E17" s="23" t="str">
        <f aca="false">IFERROR(INDEX($A$4:$A$15,MATCH(MAX(E4:E15),E4:E15,0)),"—")</f>
        <v>—</v>
      </c>
      <c r="F17" s="23" t="str">
        <f aca="false">IFERROR(INDEX($A$4:$A$15,MATCH(MAX(F4:F15),F4:F15,0)),"—")</f>
        <v>—</v>
      </c>
      <c r="G17" s="32" t="s">
        <v>139</v>
      </c>
    </row>
  </sheetData>
  <mergeCells count="3">
    <mergeCell ref="A1:G1"/>
    <mergeCell ref="A2:G2"/>
    <mergeCell ref="A17:B17"/>
  </mergeCells>
  <conditionalFormatting sqref="C4:F15">
    <cfRule type="colorScale" priority="2">
      <colorScale>
        <cfvo type="num" val="40"/>
        <cfvo type="num" val="75"/>
        <cfvo type="num" val="105"/>
        <color rgb="FFF8CBAD"/>
        <color rgb="FFFFF2CC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0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8" t="s">
        <v>140</v>
      </c>
      <c r="B1" s="18"/>
      <c r="C1" s="18"/>
      <c r="D1" s="18"/>
      <c r="E1" s="18"/>
      <c r="F1" s="18"/>
      <c r="G1" s="18"/>
    </row>
    <row r="2" customFormat="false" ht="30" hidden="false" customHeight="true" outlineLevel="0" collapsed="false">
      <c r="A2" s="19" t="s">
        <v>141</v>
      </c>
      <c r="B2" s="19"/>
      <c r="C2" s="19"/>
      <c r="D2" s="19"/>
      <c r="E2" s="19"/>
      <c r="F2" s="19"/>
      <c r="G2" s="19"/>
    </row>
    <row r="3" customFormat="false" ht="36" hidden="false" customHeight="true" outlineLevel="0" collapsed="false">
      <c r="A3" s="2" t="s">
        <v>62</v>
      </c>
      <c r="B3" s="2" t="s">
        <v>67</v>
      </c>
      <c r="C3" s="2" t="s">
        <v>142</v>
      </c>
      <c r="D3" s="2" t="s">
        <v>143</v>
      </c>
      <c r="E3" s="2" t="s">
        <v>144</v>
      </c>
      <c r="F3" s="2" t="s">
        <v>145</v>
      </c>
      <c r="G3" s="2" t="s">
        <v>68</v>
      </c>
    </row>
    <row r="4" customFormat="false" ht="15" hidden="false" customHeight="false" outlineLevel="0" collapsed="false">
      <c r="A4" s="29" t="s">
        <v>70</v>
      </c>
      <c r="B4" s="30" t="s">
        <v>126</v>
      </c>
      <c r="C4" s="15" t="str">
        <f aca="false">IF(COUNT('2 - Raw Data Entry'!M5:M7)&lt;3,"Data pending",AVERAGE('2 - Raw Data Entry'!M5:M7))</f>
        <v>Data pending</v>
      </c>
      <c r="D4" s="15" t="str">
        <f aca="false">IF(COUNT('2 - Raw Data Entry'!M41:M43)&lt;3,"Data pending",AVERAGE('2 - Raw Data Entry'!M41:M43))</f>
        <v>Data pending</v>
      </c>
      <c r="E4" s="15" t="str">
        <f aca="false">IF(COUNT('2 - Raw Data Entry'!M77:M79)&lt;3,"Data pending",AVERAGE('2 - Raw Data Entry'!M77:M79))</f>
        <v>Data pending</v>
      </c>
      <c r="F4" s="15" t="str">
        <f aca="false">IF(COUNT('2 - Raw Data Entry'!M113:M115)&lt;3,"Data pending",AVERAGE('2 - Raw Data Entry'!M113:M115))</f>
        <v>Data pending</v>
      </c>
      <c r="G4" s="13" t="s">
        <v>73</v>
      </c>
    </row>
    <row r="5" customFormat="false" ht="15" hidden="false" customHeight="false" outlineLevel="0" collapsed="false">
      <c r="A5" s="29" t="s">
        <v>74</v>
      </c>
      <c r="B5" s="30" t="s">
        <v>127</v>
      </c>
      <c r="C5" s="15" t="str">
        <f aca="false">IF(COUNT('2 - Raw Data Entry'!M8:M10)&lt;3,"Data pending",AVERAGE('2 - Raw Data Entry'!M8:M10))</f>
        <v>Data pending</v>
      </c>
      <c r="D5" s="15" t="str">
        <f aca="false">IF(COUNT('2 - Raw Data Entry'!M44:M46)&lt;3,"Data pending",AVERAGE('2 - Raw Data Entry'!M44:M46))</f>
        <v>Data pending</v>
      </c>
      <c r="E5" s="15" t="str">
        <f aca="false">IF(COUNT('2 - Raw Data Entry'!M80:M82)&lt;3,"Data pending",AVERAGE('2 - Raw Data Entry'!M80:M82))</f>
        <v>Data pending</v>
      </c>
      <c r="F5" s="15" t="str">
        <f aca="false">IF(COUNT('2 - Raw Data Entry'!M116:M118)&lt;3,"Data pending",AVERAGE('2 - Raw Data Entry'!M116:M118))</f>
        <v>Data pending</v>
      </c>
      <c r="G5" s="13"/>
    </row>
    <row r="6" customFormat="false" ht="15" hidden="false" customHeight="false" outlineLevel="0" collapsed="false">
      <c r="A6" s="29" t="s">
        <v>76</v>
      </c>
      <c r="B6" s="30" t="s">
        <v>128</v>
      </c>
      <c r="C6" s="15" t="str">
        <f aca="false">IF(COUNT('2 - Raw Data Entry'!M11:M13)&lt;3,"Data pending",AVERAGE('2 - Raw Data Entry'!M11:M13))</f>
        <v>Data pending</v>
      </c>
      <c r="D6" s="15" t="str">
        <f aca="false">IF(COUNT('2 - Raw Data Entry'!M47:M49)&lt;3,"Data pending",AVERAGE('2 - Raw Data Entry'!M47:M49))</f>
        <v>Data pending</v>
      </c>
      <c r="E6" s="15" t="str">
        <f aca="false">IF(COUNT('2 - Raw Data Entry'!M83:M85)&lt;3,"Data pending",AVERAGE('2 - Raw Data Entry'!M83:M85))</f>
        <v>Data pending</v>
      </c>
      <c r="F6" s="15" t="str">
        <f aca="false">IF(COUNT('2 - Raw Data Entry'!M119:M121)&lt;3,"Data pending",AVERAGE('2 - Raw Data Entry'!M119:M121))</f>
        <v>Data pending</v>
      </c>
      <c r="G6" s="13"/>
    </row>
    <row r="7" customFormat="false" ht="15" hidden="false" customHeight="false" outlineLevel="0" collapsed="false">
      <c r="A7" s="29" t="s">
        <v>77</v>
      </c>
      <c r="B7" s="30" t="s">
        <v>129</v>
      </c>
      <c r="C7" s="15" t="str">
        <f aca="false">IF(COUNT('2 - Raw Data Entry'!M14:M16)&lt;3,"Data pending",AVERAGE('2 - Raw Data Entry'!M14:M16))</f>
        <v>Data pending</v>
      </c>
      <c r="D7" s="15" t="str">
        <f aca="false">IF(COUNT('2 - Raw Data Entry'!M50:M52)&lt;3,"Data pending",AVERAGE('2 - Raw Data Entry'!M50:M52))</f>
        <v>Data pending</v>
      </c>
      <c r="E7" s="15" t="str">
        <f aca="false">IF(COUNT('2 - Raw Data Entry'!M86:M88)&lt;3,"Data pending",AVERAGE('2 - Raw Data Entry'!M86:M88))</f>
        <v>Data pending</v>
      </c>
      <c r="F7" s="15" t="str">
        <f aca="false">IF(COUNT('2 - Raw Data Entry'!M122:M124)&lt;3,"Data pending",AVERAGE('2 - Raw Data Entry'!M122:M124))</f>
        <v>Data pending</v>
      </c>
      <c r="G7" s="13"/>
    </row>
    <row r="8" customFormat="false" ht="15" hidden="false" customHeight="false" outlineLevel="0" collapsed="false">
      <c r="A8" s="29" t="s">
        <v>78</v>
      </c>
      <c r="B8" s="30" t="s">
        <v>130</v>
      </c>
      <c r="C8" s="15" t="str">
        <f aca="false">IF(COUNT('2 - Raw Data Entry'!M17:M19)&lt;3,"Data pending",AVERAGE('2 - Raw Data Entry'!M17:M19))</f>
        <v>Data pending</v>
      </c>
      <c r="D8" s="15" t="str">
        <f aca="false">IF(COUNT('2 - Raw Data Entry'!M53:M55)&lt;3,"Data pending",AVERAGE('2 - Raw Data Entry'!M53:M55))</f>
        <v>Data pending</v>
      </c>
      <c r="E8" s="15" t="str">
        <f aca="false">IF(COUNT('2 - Raw Data Entry'!M89:M91)&lt;3,"Data pending",AVERAGE('2 - Raw Data Entry'!M89:M91))</f>
        <v>Data pending</v>
      </c>
      <c r="F8" s="15" t="str">
        <f aca="false">IF(COUNT('2 - Raw Data Entry'!M125:M127)&lt;3,"Data pending",AVERAGE('2 - Raw Data Entry'!M125:M127))</f>
        <v>Data pending</v>
      </c>
      <c r="G8" s="13"/>
    </row>
    <row r="9" customFormat="false" ht="15" hidden="false" customHeight="false" outlineLevel="0" collapsed="false">
      <c r="A9" s="29" t="s">
        <v>79</v>
      </c>
      <c r="B9" s="30" t="s">
        <v>131</v>
      </c>
      <c r="C9" s="15" t="str">
        <f aca="false">IF(COUNT('2 - Raw Data Entry'!M20:M22)&lt;3,"Data pending",AVERAGE('2 - Raw Data Entry'!M20:M22))</f>
        <v>Data pending</v>
      </c>
      <c r="D9" s="15" t="str">
        <f aca="false">IF(COUNT('2 - Raw Data Entry'!M56:M58)&lt;3,"Data pending",AVERAGE('2 - Raw Data Entry'!M56:M58))</f>
        <v>Data pending</v>
      </c>
      <c r="E9" s="15" t="str">
        <f aca="false">IF(COUNT('2 - Raw Data Entry'!M92:M94)&lt;3,"Data pending",AVERAGE('2 - Raw Data Entry'!M92:M94))</f>
        <v>Data pending</v>
      </c>
      <c r="F9" s="15" t="str">
        <f aca="false">IF(COUNT('2 - Raw Data Entry'!M128:M130)&lt;3,"Data pending",AVERAGE('2 - Raw Data Entry'!M128:M130))</f>
        <v>Data pending</v>
      </c>
      <c r="G9" s="13" t="s">
        <v>80</v>
      </c>
    </row>
    <row r="10" customFormat="false" ht="15" hidden="false" customHeight="false" outlineLevel="0" collapsed="false">
      <c r="A10" s="29" t="s">
        <v>81</v>
      </c>
      <c r="B10" s="30" t="s">
        <v>132</v>
      </c>
      <c r="C10" s="15" t="str">
        <f aca="false">IF(COUNT('2 - Raw Data Entry'!M23:M25)&lt;3,"Data pending",AVERAGE('2 - Raw Data Entry'!M23:M25))</f>
        <v>Data pending</v>
      </c>
      <c r="D10" s="15" t="str">
        <f aca="false">IF(COUNT('2 - Raw Data Entry'!M59:M61)&lt;3,"Data pending",AVERAGE('2 - Raw Data Entry'!M59:M61))</f>
        <v>Data pending</v>
      </c>
      <c r="E10" s="15" t="str">
        <f aca="false">IF(COUNT('2 - Raw Data Entry'!M95:M97)&lt;3,"Data pending",AVERAGE('2 - Raw Data Entry'!M95:M97))</f>
        <v>Data pending</v>
      </c>
      <c r="F10" s="15" t="str">
        <f aca="false">IF(COUNT('2 - Raw Data Entry'!M131:M133)&lt;3,"Data pending",AVERAGE('2 - Raw Data Entry'!M131:M133))</f>
        <v>Data pending</v>
      </c>
      <c r="G10" s="13" t="s">
        <v>73</v>
      </c>
    </row>
    <row r="11" customFormat="false" ht="15" hidden="false" customHeight="false" outlineLevel="0" collapsed="false">
      <c r="A11" s="29" t="s">
        <v>83</v>
      </c>
      <c r="B11" s="30" t="s">
        <v>133</v>
      </c>
      <c r="C11" s="15" t="str">
        <f aca="false">IF(COUNT('2 - Raw Data Entry'!M26:M28)&lt;3,"Data pending",AVERAGE('2 - Raw Data Entry'!M26:M28))</f>
        <v>Data pending</v>
      </c>
      <c r="D11" s="15" t="str">
        <f aca="false">IF(COUNT('2 - Raw Data Entry'!M62:M64)&lt;3,"Data pending",AVERAGE('2 - Raw Data Entry'!M62:M64))</f>
        <v>Data pending</v>
      </c>
      <c r="E11" s="15" t="str">
        <f aca="false">IF(COUNT('2 - Raw Data Entry'!M98:M100)&lt;3,"Data pending",AVERAGE('2 - Raw Data Entry'!M98:M100))</f>
        <v>Data pending</v>
      </c>
      <c r="F11" s="15" t="str">
        <f aca="false">IF(COUNT('2 - Raw Data Entry'!M134:M136)&lt;3,"Data pending",AVERAGE('2 - Raw Data Entry'!M134:M136))</f>
        <v>Data pending</v>
      </c>
      <c r="G11" s="13"/>
    </row>
    <row r="12" customFormat="false" ht="15" hidden="false" customHeight="false" outlineLevel="0" collapsed="false">
      <c r="A12" s="29" t="s">
        <v>85</v>
      </c>
      <c r="B12" s="30" t="s">
        <v>134</v>
      </c>
      <c r="C12" s="15" t="str">
        <f aca="false">IF(COUNT('2 - Raw Data Entry'!M29:M31)&lt;3,"Data pending",AVERAGE('2 - Raw Data Entry'!M29:M31))</f>
        <v>Data pending</v>
      </c>
      <c r="D12" s="15" t="str">
        <f aca="false">IF(COUNT('2 - Raw Data Entry'!M65:M67)&lt;3,"Data pending",AVERAGE('2 - Raw Data Entry'!M65:M67))</f>
        <v>Data pending</v>
      </c>
      <c r="E12" s="15" t="str">
        <f aca="false">IF(COUNT('2 - Raw Data Entry'!M101:M103)&lt;3,"Data pending",AVERAGE('2 - Raw Data Entry'!M101:M103))</f>
        <v>Data pending</v>
      </c>
      <c r="F12" s="15" t="str">
        <f aca="false">IF(COUNT('2 - Raw Data Entry'!M137:M139)&lt;3,"Data pending",AVERAGE('2 - Raw Data Entry'!M137:M139))</f>
        <v>Data pending</v>
      </c>
      <c r="G12" s="13"/>
    </row>
    <row r="13" customFormat="false" ht="15" hidden="false" customHeight="false" outlineLevel="0" collapsed="false">
      <c r="A13" s="23" t="s">
        <v>86</v>
      </c>
      <c r="B13" s="24" t="s">
        <v>135</v>
      </c>
      <c r="C13" s="15" t="str">
        <f aca="false">IF(COUNT('2 - Raw Data Entry'!M32:M34)&lt;3,"Data pending",AVERAGE('2 - Raw Data Entry'!M32:M34))</f>
        <v>Data pending</v>
      </c>
      <c r="D13" s="15" t="str">
        <f aca="false">IF(COUNT('2 - Raw Data Entry'!M68:M70)&lt;3,"Data pending",AVERAGE('2 - Raw Data Entry'!M68:M70))</f>
        <v>Data pending</v>
      </c>
      <c r="E13" s="15" t="str">
        <f aca="false">IF(COUNT('2 - Raw Data Entry'!M104:M106)&lt;3,"Data pending",AVERAGE('2 - Raw Data Entry'!M104:M106))</f>
        <v>Data pending</v>
      </c>
      <c r="F13" s="15" t="str">
        <f aca="false">IF(COUNT('2 - Raw Data Entry'!M140:M142)&lt;3,"Data pending",AVERAGE('2 - Raw Data Entry'!M140:M142))</f>
        <v>Data pending</v>
      </c>
      <c r="G13" s="10" t="s">
        <v>87</v>
      </c>
    </row>
    <row r="14" customFormat="false" ht="15" hidden="false" customHeight="false" outlineLevel="0" collapsed="false">
      <c r="A14" s="29" t="s">
        <v>88</v>
      </c>
      <c r="B14" s="30" t="s">
        <v>136</v>
      </c>
      <c r="C14" s="15" t="str">
        <f aca="false">IF(COUNT('2 - Raw Data Entry'!M35:M37)&lt;3,"Data pending",AVERAGE('2 - Raw Data Entry'!M35:M37))</f>
        <v>Data pending</v>
      </c>
      <c r="D14" s="15" t="str">
        <f aca="false">IF(COUNT('2 - Raw Data Entry'!M71:M73)&lt;3,"Data pending",AVERAGE('2 - Raw Data Entry'!M71:M73))</f>
        <v>Data pending</v>
      </c>
      <c r="E14" s="15" t="str">
        <f aca="false">IF(COUNT('2 - Raw Data Entry'!M107:M109)&lt;3,"Data pending",AVERAGE('2 - Raw Data Entry'!M107:M109))</f>
        <v>Data pending</v>
      </c>
      <c r="F14" s="15" t="str">
        <f aca="false">IF(COUNT('2 - Raw Data Entry'!M143:M145)&lt;3,"Data pending",AVERAGE('2 - Raw Data Entry'!M143:M145))</f>
        <v>Data pending</v>
      </c>
      <c r="G14" s="13"/>
    </row>
    <row r="15" customFormat="false" ht="15" hidden="false" customHeight="false" outlineLevel="0" collapsed="false">
      <c r="A15" s="29" t="s">
        <v>89</v>
      </c>
      <c r="B15" s="30" t="s">
        <v>137</v>
      </c>
      <c r="C15" s="15" t="str">
        <f aca="false">IF(COUNT('2 - Raw Data Entry'!M38:M40)&lt;3,"Data pending",AVERAGE('2 - Raw Data Entry'!M38:M40))</f>
        <v>Data pending</v>
      </c>
      <c r="D15" s="15" t="str">
        <f aca="false">IF(COUNT('2 - Raw Data Entry'!M74:M76)&lt;3,"Data pending",AVERAGE('2 - Raw Data Entry'!M74:M76))</f>
        <v>Data pending</v>
      </c>
      <c r="E15" s="15" t="str">
        <f aca="false">IF(COUNT('2 - Raw Data Entry'!M110:M112)&lt;3,"Data pending",AVERAGE('2 - Raw Data Entry'!M110:M112))</f>
        <v>Data pending</v>
      </c>
      <c r="F15" s="15" t="str">
        <f aca="false">IF(COUNT('2 - Raw Data Entry'!M146:M148)&lt;3,"Data pending",AVERAGE('2 - Raw Data Entry'!M146:M148))</f>
        <v>Data pending</v>
      </c>
      <c r="G15" s="13" t="s">
        <v>80</v>
      </c>
    </row>
    <row r="17" customFormat="false" ht="15" hidden="false" customHeight="true" outlineLevel="0" collapsed="false">
      <c r="A17" s="31" t="s">
        <v>146</v>
      </c>
      <c r="B17" s="31"/>
      <c r="C17" s="23" t="str">
        <f aca="false">IFERROR(INDEX($A$4:$A$15,MATCH(MIN(C4:C15),C4:C15,0)),"—")</f>
        <v>—</v>
      </c>
      <c r="D17" s="23" t="str">
        <f aca="false">IFERROR(INDEX($A$4:$A$15,MATCH(MIN(D4:D15),D4:D15,0)),"—")</f>
        <v>—</v>
      </c>
      <c r="E17" s="23" t="str">
        <f aca="false">IFERROR(INDEX($A$4:$A$15,MATCH(MIN(E4:E15),E4:E15,0)),"—")</f>
        <v>—</v>
      </c>
      <c r="F17" s="23" t="str">
        <f aca="false">IFERROR(INDEX($A$4:$A$15,MATCH(MIN(F4:F15),F4:F15,0)),"—")</f>
        <v>—</v>
      </c>
      <c r="G17" s="32" t="s">
        <v>139</v>
      </c>
    </row>
  </sheetData>
  <mergeCells count="3">
    <mergeCell ref="A1:G1"/>
    <mergeCell ref="A2:G2"/>
    <mergeCell ref="A17:B17"/>
  </mergeCells>
  <conditionalFormatting sqref="C4:F15">
    <cfRule type="colorScale" priority="2">
      <colorScale>
        <cfvo type="num" val="3"/>
        <cfvo type="num" val="6.5"/>
        <cfvo type="num" val="10"/>
        <color rgb="FFA9D08E"/>
        <color rgb="FFFFF2CC"/>
        <color rgb="FFF8CBA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2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8" t="s">
        <v>147</v>
      </c>
      <c r="B1" s="18"/>
      <c r="C1" s="18"/>
      <c r="D1" s="18"/>
      <c r="E1" s="18"/>
      <c r="F1" s="18"/>
      <c r="G1" s="18"/>
      <c r="H1" s="18"/>
    </row>
    <row r="2" customFormat="false" ht="30" hidden="false" customHeight="true" outlineLevel="0" collapsed="false">
      <c r="A2" s="19" t="s">
        <v>148</v>
      </c>
      <c r="B2" s="19"/>
      <c r="C2" s="19"/>
      <c r="D2" s="19"/>
      <c r="E2" s="19"/>
      <c r="F2" s="19"/>
      <c r="G2" s="19"/>
      <c r="H2" s="19"/>
    </row>
    <row r="3" customFormat="false" ht="36" hidden="false" customHeight="true" outlineLevel="0" collapsed="false">
      <c r="A3" s="2" t="s">
        <v>149</v>
      </c>
      <c r="B3" s="2" t="s">
        <v>62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  <c r="H3" s="2" t="s">
        <v>155</v>
      </c>
    </row>
    <row r="4" customFormat="false" ht="15" hidden="false" customHeight="false" outlineLevel="0" collapsed="false">
      <c r="A4" s="29" t="s">
        <v>156</v>
      </c>
      <c r="B4" s="30" t="s">
        <v>70</v>
      </c>
      <c r="C4" s="30" t="n">
        <v>200</v>
      </c>
      <c r="D4" s="30" t="n">
        <v>1</v>
      </c>
      <c r="E4" s="7"/>
      <c r="F4" s="27"/>
      <c r="G4" s="27"/>
      <c r="H4" s="7"/>
    </row>
    <row r="5" customFormat="false" ht="15" hidden="false" customHeight="false" outlineLevel="0" collapsed="false">
      <c r="A5" s="29" t="s">
        <v>157</v>
      </c>
      <c r="B5" s="30" t="s">
        <v>70</v>
      </c>
      <c r="C5" s="30" t="n">
        <v>200</v>
      </c>
      <c r="D5" s="30" t="n">
        <v>2</v>
      </c>
      <c r="E5" s="7"/>
      <c r="F5" s="27"/>
      <c r="G5" s="27"/>
      <c r="H5" s="7"/>
    </row>
    <row r="6" customFormat="false" ht="15" hidden="false" customHeight="false" outlineLevel="0" collapsed="false">
      <c r="A6" s="29" t="s">
        <v>158</v>
      </c>
      <c r="B6" s="30" t="s">
        <v>70</v>
      </c>
      <c r="C6" s="30" t="n">
        <v>200</v>
      </c>
      <c r="D6" s="30" t="n">
        <v>3</v>
      </c>
      <c r="E6" s="7"/>
      <c r="F6" s="27"/>
      <c r="G6" s="27"/>
      <c r="H6" s="7"/>
    </row>
    <row r="7" customFormat="false" ht="15" hidden="false" customHeight="false" outlineLevel="0" collapsed="false">
      <c r="A7" s="29" t="s">
        <v>159</v>
      </c>
      <c r="B7" s="30" t="s">
        <v>74</v>
      </c>
      <c r="C7" s="30" t="n">
        <v>200</v>
      </c>
      <c r="D7" s="30" t="n">
        <v>1</v>
      </c>
      <c r="E7" s="7"/>
      <c r="F7" s="27"/>
      <c r="G7" s="27"/>
      <c r="H7" s="7"/>
    </row>
    <row r="8" customFormat="false" ht="15" hidden="false" customHeight="false" outlineLevel="0" collapsed="false">
      <c r="A8" s="29" t="s">
        <v>160</v>
      </c>
      <c r="B8" s="30" t="s">
        <v>74</v>
      </c>
      <c r="C8" s="30" t="n">
        <v>200</v>
      </c>
      <c r="D8" s="30" t="n">
        <v>2</v>
      </c>
      <c r="E8" s="7"/>
      <c r="F8" s="27"/>
      <c r="G8" s="27"/>
      <c r="H8" s="7"/>
    </row>
    <row r="9" customFormat="false" ht="15" hidden="false" customHeight="false" outlineLevel="0" collapsed="false">
      <c r="A9" s="29" t="s">
        <v>161</v>
      </c>
      <c r="B9" s="30" t="s">
        <v>74</v>
      </c>
      <c r="C9" s="30" t="n">
        <v>200</v>
      </c>
      <c r="D9" s="30" t="n">
        <v>3</v>
      </c>
      <c r="E9" s="7"/>
      <c r="F9" s="27"/>
      <c r="G9" s="27"/>
      <c r="H9" s="7"/>
    </row>
    <row r="10" customFormat="false" ht="15" hidden="false" customHeight="false" outlineLevel="0" collapsed="false">
      <c r="A10" s="29" t="s">
        <v>162</v>
      </c>
      <c r="B10" s="30" t="s">
        <v>76</v>
      </c>
      <c r="C10" s="30" t="n">
        <v>200</v>
      </c>
      <c r="D10" s="30" t="n">
        <v>1</v>
      </c>
      <c r="E10" s="7"/>
      <c r="F10" s="27"/>
      <c r="G10" s="27"/>
      <c r="H10" s="7"/>
    </row>
    <row r="11" customFormat="false" ht="15" hidden="false" customHeight="false" outlineLevel="0" collapsed="false">
      <c r="A11" s="29" t="s">
        <v>163</v>
      </c>
      <c r="B11" s="30" t="s">
        <v>76</v>
      </c>
      <c r="C11" s="30" t="n">
        <v>200</v>
      </c>
      <c r="D11" s="30" t="n">
        <v>2</v>
      </c>
      <c r="E11" s="7"/>
      <c r="F11" s="27"/>
      <c r="G11" s="27"/>
      <c r="H11" s="7"/>
    </row>
    <row r="12" customFormat="false" ht="15" hidden="false" customHeight="false" outlineLevel="0" collapsed="false">
      <c r="A12" s="29" t="s">
        <v>164</v>
      </c>
      <c r="B12" s="30" t="s">
        <v>76</v>
      </c>
      <c r="C12" s="30" t="n">
        <v>200</v>
      </c>
      <c r="D12" s="30" t="n">
        <v>3</v>
      </c>
      <c r="E12" s="7"/>
      <c r="F12" s="27"/>
      <c r="G12" s="27"/>
      <c r="H12" s="7"/>
    </row>
    <row r="13" customFormat="false" ht="15" hidden="false" customHeight="false" outlineLevel="0" collapsed="false">
      <c r="A13" s="29" t="s">
        <v>165</v>
      </c>
      <c r="B13" s="30" t="s">
        <v>77</v>
      </c>
      <c r="C13" s="30" t="n">
        <v>200</v>
      </c>
      <c r="D13" s="30" t="n">
        <v>1</v>
      </c>
      <c r="E13" s="7"/>
      <c r="F13" s="27"/>
      <c r="G13" s="27"/>
      <c r="H13" s="7"/>
    </row>
    <row r="14" customFormat="false" ht="15" hidden="false" customHeight="false" outlineLevel="0" collapsed="false">
      <c r="A14" s="29" t="s">
        <v>166</v>
      </c>
      <c r="B14" s="30" t="s">
        <v>77</v>
      </c>
      <c r="C14" s="30" t="n">
        <v>200</v>
      </c>
      <c r="D14" s="30" t="n">
        <v>2</v>
      </c>
      <c r="E14" s="7"/>
      <c r="F14" s="27"/>
      <c r="G14" s="27"/>
      <c r="H14" s="7"/>
    </row>
    <row r="15" customFormat="false" ht="15" hidden="false" customHeight="false" outlineLevel="0" collapsed="false">
      <c r="A15" s="29" t="s">
        <v>167</v>
      </c>
      <c r="B15" s="30" t="s">
        <v>77</v>
      </c>
      <c r="C15" s="30" t="n">
        <v>200</v>
      </c>
      <c r="D15" s="30" t="n">
        <v>3</v>
      </c>
      <c r="E15" s="7"/>
      <c r="F15" s="27"/>
      <c r="G15" s="27"/>
      <c r="H15" s="7"/>
    </row>
    <row r="16" customFormat="false" ht="15" hidden="false" customHeight="false" outlineLevel="0" collapsed="false">
      <c r="A16" s="29" t="s">
        <v>168</v>
      </c>
      <c r="B16" s="30" t="s">
        <v>78</v>
      </c>
      <c r="C16" s="30" t="n">
        <v>200</v>
      </c>
      <c r="D16" s="30" t="n">
        <v>1</v>
      </c>
      <c r="E16" s="7"/>
      <c r="F16" s="27"/>
      <c r="G16" s="27"/>
      <c r="H16" s="7"/>
    </row>
    <row r="17" customFormat="false" ht="15" hidden="false" customHeight="false" outlineLevel="0" collapsed="false">
      <c r="A17" s="29" t="s">
        <v>169</v>
      </c>
      <c r="B17" s="30" t="s">
        <v>78</v>
      </c>
      <c r="C17" s="30" t="n">
        <v>200</v>
      </c>
      <c r="D17" s="30" t="n">
        <v>2</v>
      </c>
      <c r="E17" s="7"/>
      <c r="F17" s="27"/>
      <c r="G17" s="27"/>
      <c r="H17" s="7"/>
    </row>
    <row r="18" customFormat="false" ht="15" hidden="false" customHeight="false" outlineLevel="0" collapsed="false">
      <c r="A18" s="29" t="s">
        <v>170</v>
      </c>
      <c r="B18" s="30" t="s">
        <v>78</v>
      </c>
      <c r="C18" s="30" t="n">
        <v>200</v>
      </c>
      <c r="D18" s="30" t="n">
        <v>3</v>
      </c>
      <c r="E18" s="7"/>
      <c r="F18" s="27"/>
      <c r="G18" s="27"/>
      <c r="H18" s="7"/>
    </row>
    <row r="19" customFormat="false" ht="15" hidden="false" customHeight="false" outlineLevel="0" collapsed="false">
      <c r="A19" s="29" t="s">
        <v>171</v>
      </c>
      <c r="B19" s="30" t="s">
        <v>79</v>
      </c>
      <c r="C19" s="30" t="n">
        <v>200</v>
      </c>
      <c r="D19" s="30" t="n">
        <v>1</v>
      </c>
      <c r="E19" s="7"/>
      <c r="F19" s="27"/>
      <c r="G19" s="27"/>
      <c r="H19" s="7"/>
    </row>
    <row r="20" customFormat="false" ht="15" hidden="false" customHeight="false" outlineLevel="0" collapsed="false">
      <c r="A20" s="29" t="s">
        <v>172</v>
      </c>
      <c r="B20" s="30" t="s">
        <v>79</v>
      </c>
      <c r="C20" s="30" t="n">
        <v>200</v>
      </c>
      <c r="D20" s="30" t="n">
        <v>2</v>
      </c>
      <c r="E20" s="7"/>
      <c r="F20" s="27"/>
      <c r="G20" s="27"/>
      <c r="H20" s="7"/>
    </row>
    <row r="21" customFormat="false" ht="15" hidden="false" customHeight="false" outlineLevel="0" collapsed="false">
      <c r="A21" s="29" t="s">
        <v>173</v>
      </c>
      <c r="B21" s="30" t="s">
        <v>79</v>
      </c>
      <c r="C21" s="30" t="n">
        <v>200</v>
      </c>
      <c r="D21" s="30" t="n">
        <v>3</v>
      </c>
      <c r="E21" s="7"/>
      <c r="F21" s="27"/>
      <c r="G21" s="27"/>
      <c r="H21" s="7"/>
    </row>
    <row r="22" customFormat="false" ht="15" hidden="false" customHeight="false" outlineLevel="0" collapsed="false">
      <c r="A22" s="29" t="s">
        <v>174</v>
      </c>
      <c r="B22" s="30" t="s">
        <v>81</v>
      </c>
      <c r="C22" s="30" t="n">
        <v>200</v>
      </c>
      <c r="D22" s="30" t="n">
        <v>1</v>
      </c>
      <c r="E22" s="7"/>
      <c r="F22" s="27"/>
      <c r="G22" s="27"/>
      <c r="H22" s="7"/>
    </row>
    <row r="23" customFormat="false" ht="15" hidden="false" customHeight="false" outlineLevel="0" collapsed="false">
      <c r="A23" s="29" t="s">
        <v>175</v>
      </c>
      <c r="B23" s="30" t="s">
        <v>81</v>
      </c>
      <c r="C23" s="30" t="n">
        <v>200</v>
      </c>
      <c r="D23" s="30" t="n">
        <v>2</v>
      </c>
      <c r="E23" s="7"/>
      <c r="F23" s="27"/>
      <c r="G23" s="27"/>
      <c r="H23" s="7"/>
    </row>
    <row r="24" customFormat="false" ht="15" hidden="false" customHeight="false" outlineLevel="0" collapsed="false">
      <c r="A24" s="29" t="s">
        <v>176</v>
      </c>
      <c r="B24" s="30" t="s">
        <v>81</v>
      </c>
      <c r="C24" s="30" t="n">
        <v>200</v>
      </c>
      <c r="D24" s="30" t="n">
        <v>3</v>
      </c>
      <c r="E24" s="7"/>
      <c r="F24" s="27"/>
      <c r="G24" s="27"/>
      <c r="H24" s="7"/>
    </row>
    <row r="25" customFormat="false" ht="15" hidden="false" customHeight="false" outlineLevel="0" collapsed="false">
      <c r="A25" s="29" t="s">
        <v>177</v>
      </c>
      <c r="B25" s="30" t="s">
        <v>83</v>
      </c>
      <c r="C25" s="30" t="n">
        <v>200</v>
      </c>
      <c r="D25" s="30" t="n">
        <v>1</v>
      </c>
      <c r="E25" s="7"/>
      <c r="F25" s="27"/>
      <c r="G25" s="27"/>
      <c r="H25" s="7"/>
    </row>
    <row r="26" customFormat="false" ht="15" hidden="false" customHeight="false" outlineLevel="0" collapsed="false">
      <c r="A26" s="29" t="s">
        <v>178</v>
      </c>
      <c r="B26" s="30" t="s">
        <v>83</v>
      </c>
      <c r="C26" s="30" t="n">
        <v>200</v>
      </c>
      <c r="D26" s="30" t="n">
        <v>2</v>
      </c>
      <c r="E26" s="7"/>
      <c r="F26" s="27"/>
      <c r="G26" s="27"/>
      <c r="H26" s="7"/>
    </row>
    <row r="27" customFormat="false" ht="15" hidden="false" customHeight="false" outlineLevel="0" collapsed="false">
      <c r="A27" s="29" t="s">
        <v>179</v>
      </c>
      <c r="B27" s="30" t="s">
        <v>83</v>
      </c>
      <c r="C27" s="30" t="n">
        <v>200</v>
      </c>
      <c r="D27" s="30" t="n">
        <v>3</v>
      </c>
      <c r="E27" s="7"/>
      <c r="F27" s="27"/>
      <c r="G27" s="27"/>
      <c r="H27" s="7"/>
    </row>
    <row r="28" customFormat="false" ht="15" hidden="false" customHeight="false" outlineLevel="0" collapsed="false">
      <c r="A28" s="29" t="s">
        <v>180</v>
      </c>
      <c r="B28" s="30" t="s">
        <v>85</v>
      </c>
      <c r="C28" s="30" t="n">
        <v>200</v>
      </c>
      <c r="D28" s="30" t="n">
        <v>1</v>
      </c>
      <c r="E28" s="7"/>
      <c r="F28" s="27"/>
      <c r="G28" s="27"/>
      <c r="H28" s="7"/>
    </row>
    <row r="29" customFormat="false" ht="15" hidden="false" customHeight="false" outlineLevel="0" collapsed="false">
      <c r="A29" s="29" t="s">
        <v>181</v>
      </c>
      <c r="B29" s="30" t="s">
        <v>85</v>
      </c>
      <c r="C29" s="30" t="n">
        <v>200</v>
      </c>
      <c r="D29" s="30" t="n">
        <v>2</v>
      </c>
      <c r="E29" s="7"/>
      <c r="F29" s="27"/>
      <c r="G29" s="27"/>
      <c r="H29" s="7"/>
    </row>
    <row r="30" customFormat="false" ht="15" hidden="false" customHeight="false" outlineLevel="0" collapsed="false">
      <c r="A30" s="29" t="s">
        <v>182</v>
      </c>
      <c r="B30" s="30" t="s">
        <v>85</v>
      </c>
      <c r="C30" s="30" t="n">
        <v>200</v>
      </c>
      <c r="D30" s="30" t="n">
        <v>3</v>
      </c>
      <c r="E30" s="7"/>
      <c r="F30" s="27"/>
      <c r="G30" s="27"/>
      <c r="H30" s="7"/>
    </row>
    <row r="31" customFormat="false" ht="15" hidden="false" customHeight="false" outlineLevel="0" collapsed="false">
      <c r="A31" s="29" t="s">
        <v>183</v>
      </c>
      <c r="B31" s="30" t="s">
        <v>86</v>
      </c>
      <c r="C31" s="30" t="n">
        <v>200</v>
      </c>
      <c r="D31" s="30" t="n">
        <v>1</v>
      </c>
      <c r="E31" s="7"/>
      <c r="F31" s="27"/>
      <c r="G31" s="27"/>
      <c r="H31" s="7"/>
    </row>
    <row r="32" customFormat="false" ht="15" hidden="false" customHeight="false" outlineLevel="0" collapsed="false">
      <c r="A32" s="29" t="s">
        <v>184</v>
      </c>
      <c r="B32" s="30" t="s">
        <v>86</v>
      </c>
      <c r="C32" s="30" t="n">
        <v>200</v>
      </c>
      <c r="D32" s="30" t="n">
        <v>2</v>
      </c>
      <c r="E32" s="7"/>
      <c r="F32" s="27"/>
      <c r="G32" s="27"/>
      <c r="H32" s="7"/>
    </row>
    <row r="33" customFormat="false" ht="15" hidden="false" customHeight="false" outlineLevel="0" collapsed="false">
      <c r="A33" s="29" t="s">
        <v>185</v>
      </c>
      <c r="B33" s="30" t="s">
        <v>86</v>
      </c>
      <c r="C33" s="30" t="n">
        <v>200</v>
      </c>
      <c r="D33" s="30" t="n">
        <v>3</v>
      </c>
      <c r="E33" s="7"/>
      <c r="F33" s="27"/>
      <c r="G33" s="27"/>
      <c r="H33" s="7"/>
    </row>
    <row r="34" customFormat="false" ht="15" hidden="false" customHeight="false" outlineLevel="0" collapsed="false">
      <c r="A34" s="29" t="s">
        <v>186</v>
      </c>
      <c r="B34" s="30" t="s">
        <v>88</v>
      </c>
      <c r="C34" s="30" t="n">
        <v>200</v>
      </c>
      <c r="D34" s="30" t="n">
        <v>1</v>
      </c>
      <c r="E34" s="7"/>
      <c r="F34" s="27"/>
      <c r="G34" s="27"/>
      <c r="H34" s="7"/>
    </row>
    <row r="35" customFormat="false" ht="15" hidden="false" customHeight="false" outlineLevel="0" collapsed="false">
      <c r="A35" s="29" t="s">
        <v>187</v>
      </c>
      <c r="B35" s="30" t="s">
        <v>88</v>
      </c>
      <c r="C35" s="30" t="n">
        <v>200</v>
      </c>
      <c r="D35" s="30" t="n">
        <v>2</v>
      </c>
      <c r="E35" s="7"/>
      <c r="F35" s="27"/>
      <c r="G35" s="27"/>
      <c r="H35" s="7"/>
    </row>
    <row r="36" customFormat="false" ht="15" hidden="false" customHeight="false" outlineLevel="0" collapsed="false">
      <c r="A36" s="29" t="s">
        <v>188</v>
      </c>
      <c r="B36" s="30" t="s">
        <v>88</v>
      </c>
      <c r="C36" s="30" t="n">
        <v>200</v>
      </c>
      <c r="D36" s="30" t="n">
        <v>3</v>
      </c>
      <c r="E36" s="7"/>
      <c r="F36" s="27"/>
      <c r="G36" s="27"/>
      <c r="H36" s="7"/>
    </row>
    <row r="37" customFormat="false" ht="15" hidden="false" customHeight="false" outlineLevel="0" collapsed="false">
      <c r="A37" s="29" t="s">
        <v>189</v>
      </c>
      <c r="B37" s="30" t="s">
        <v>89</v>
      </c>
      <c r="C37" s="30" t="n">
        <v>200</v>
      </c>
      <c r="D37" s="30" t="n">
        <v>1</v>
      </c>
      <c r="E37" s="7"/>
      <c r="F37" s="27"/>
      <c r="G37" s="27"/>
      <c r="H37" s="7"/>
    </row>
    <row r="38" customFormat="false" ht="15" hidden="false" customHeight="false" outlineLevel="0" collapsed="false">
      <c r="A38" s="29" t="s">
        <v>190</v>
      </c>
      <c r="B38" s="30" t="s">
        <v>89</v>
      </c>
      <c r="C38" s="30" t="n">
        <v>200</v>
      </c>
      <c r="D38" s="30" t="n">
        <v>2</v>
      </c>
      <c r="E38" s="7"/>
      <c r="F38" s="27"/>
      <c r="G38" s="27"/>
      <c r="H38" s="7"/>
    </row>
    <row r="39" customFormat="false" ht="15" hidden="false" customHeight="false" outlineLevel="0" collapsed="false">
      <c r="A39" s="29" t="s">
        <v>191</v>
      </c>
      <c r="B39" s="30" t="s">
        <v>89</v>
      </c>
      <c r="C39" s="30" t="n">
        <v>200</v>
      </c>
      <c r="D39" s="30" t="n">
        <v>3</v>
      </c>
      <c r="E39" s="7"/>
      <c r="F39" s="27"/>
      <c r="G39" s="27"/>
      <c r="H39" s="7"/>
    </row>
    <row r="40" customFormat="false" ht="15" hidden="false" customHeight="false" outlineLevel="0" collapsed="false">
      <c r="A40" s="29" t="s">
        <v>192</v>
      </c>
      <c r="B40" s="30" t="s">
        <v>70</v>
      </c>
      <c r="C40" s="30" t="n">
        <v>400</v>
      </c>
      <c r="D40" s="30" t="n">
        <v>1</v>
      </c>
      <c r="E40" s="7"/>
      <c r="F40" s="27"/>
      <c r="G40" s="27"/>
      <c r="H40" s="7"/>
    </row>
    <row r="41" customFormat="false" ht="15" hidden="false" customHeight="false" outlineLevel="0" collapsed="false">
      <c r="A41" s="29" t="s">
        <v>193</v>
      </c>
      <c r="B41" s="30" t="s">
        <v>70</v>
      </c>
      <c r="C41" s="30" t="n">
        <v>400</v>
      </c>
      <c r="D41" s="30" t="n">
        <v>2</v>
      </c>
      <c r="E41" s="7"/>
      <c r="F41" s="27"/>
      <c r="G41" s="27"/>
      <c r="H41" s="7"/>
    </row>
    <row r="42" customFormat="false" ht="15" hidden="false" customHeight="false" outlineLevel="0" collapsed="false">
      <c r="A42" s="29" t="s">
        <v>194</v>
      </c>
      <c r="B42" s="30" t="s">
        <v>70</v>
      </c>
      <c r="C42" s="30" t="n">
        <v>400</v>
      </c>
      <c r="D42" s="30" t="n">
        <v>3</v>
      </c>
      <c r="E42" s="7"/>
      <c r="F42" s="27"/>
      <c r="G42" s="27"/>
      <c r="H42" s="7"/>
    </row>
    <row r="43" customFormat="false" ht="15" hidden="false" customHeight="false" outlineLevel="0" collapsed="false">
      <c r="A43" s="29" t="s">
        <v>195</v>
      </c>
      <c r="B43" s="30" t="s">
        <v>74</v>
      </c>
      <c r="C43" s="30" t="n">
        <v>400</v>
      </c>
      <c r="D43" s="30" t="n">
        <v>1</v>
      </c>
      <c r="E43" s="7"/>
      <c r="F43" s="27"/>
      <c r="G43" s="27"/>
      <c r="H43" s="7"/>
    </row>
    <row r="44" customFormat="false" ht="15" hidden="false" customHeight="false" outlineLevel="0" collapsed="false">
      <c r="A44" s="29" t="s">
        <v>196</v>
      </c>
      <c r="B44" s="30" t="s">
        <v>74</v>
      </c>
      <c r="C44" s="30" t="n">
        <v>400</v>
      </c>
      <c r="D44" s="30" t="n">
        <v>2</v>
      </c>
      <c r="E44" s="7"/>
      <c r="F44" s="27"/>
      <c r="G44" s="27"/>
      <c r="H44" s="7"/>
    </row>
    <row r="45" customFormat="false" ht="15" hidden="false" customHeight="false" outlineLevel="0" collapsed="false">
      <c r="A45" s="29" t="s">
        <v>197</v>
      </c>
      <c r="B45" s="30" t="s">
        <v>74</v>
      </c>
      <c r="C45" s="30" t="n">
        <v>400</v>
      </c>
      <c r="D45" s="30" t="n">
        <v>3</v>
      </c>
      <c r="E45" s="7"/>
      <c r="F45" s="27"/>
      <c r="G45" s="27"/>
      <c r="H45" s="7"/>
    </row>
    <row r="46" customFormat="false" ht="15" hidden="false" customHeight="false" outlineLevel="0" collapsed="false">
      <c r="A46" s="29" t="s">
        <v>198</v>
      </c>
      <c r="B46" s="30" t="s">
        <v>76</v>
      </c>
      <c r="C46" s="30" t="n">
        <v>400</v>
      </c>
      <c r="D46" s="30" t="n">
        <v>1</v>
      </c>
      <c r="E46" s="7"/>
      <c r="F46" s="27"/>
      <c r="G46" s="27"/>
      <c r="H46" s="7"/>
    </row>
    <row r="47" customFormat="false" ht="15" hidden="false" customHeight="false" outlineLevel="0" collapsed="false">
      <c r="A47" s="29" t="s">
        <v>199</v>
      </c>
      <c r="B47" s="30" t="s">
        <v>76</v>
      </c>
      <c r="C47" s="30" t="n">
        <v>400</v>
      </c>
      <c r="D47" s="30" t="n">
        <v>2</v>
      </c>
      <c r="E47" s="7"/>
      <c r="F47" s="27"/>
      <c r="G47" s="27"/>
      <c r="H47" s="7"/>
    </row>
    <row r="48" customFormat="false" ht="15" hidden="false" customHeight="false" outlineLevel="0" collapsed="false">
      <c r="A48" s="29" t="s">
        <v>200</v>
      </c>
      <c r="B48" s="30" t="s">
        <v>76</v>
      </c>
      <c r="C48" s="30" t="n">
        <v>400</v>
      </c>
      <c r="D48" s="30" t="n">
        <v>3</v>
      </c>
      <c r="E48" s="7"/>
      <c r="F48" s="27"/>
      <c r="G48" s="27"/>
      <c r="H48" s="7"/>
    </row>
    <row r="49" customFormat="false" ht="15" hidden="false" customHeight="false" outlineLevel="0" collapsed="false">
      <c r="A49" s="29" t="s">
        <v>201</v>
      </c>
      <c r="B49" s="30" t="s">
        <v>77</v>
      </c>
      <c r="C49" s="30" t="n">
        <v>400</v>
      </c>
      <c r="D49" s="30" t="n">
        <v>1</v>
      </c>
      <c r="E49" s="7"/>
      <c r="F49" s="27"/>
      <c r="G49" s="27"/>
      <c r="H49" s="7"/>
    </row>
    <row r="50" customFormat="false" ht="15" hidden="false" customHeight="false" outlineLevel="0" collapsed="false">
      <c r="A50" s="29" t="s">
        <v>202</v>
      </c>
      <c r="B50" s="30" t="s">
        <v>77</v>
      </c>
      <c r="C50" s="30" t="n">
        <v>400</v>
      </c>
      <c r="D50" s="30" t="n">
        <v>2</v>
      </c>
      <c r="E50" s="7"/>
      <c r="F50" s="27"/>
      <c r="G50" s="27"/>
      <c r="H50" s="7"/>
    </row>
    <row r="51" customFormat="false" ht="15" hidden="false" customHeight="false" outlineLevel="0" collapsed="false">
      <c r="A51" s="29" t="s">
        <v>203</v>
      </c>
      <c r="B51" s="30" t="s">
        <v>77</v>
      </c>
      <c r="C51" s="30" t="n">
        <v>400</v>
      </c>
      <c r="D51" s="30" t="n">
        <v>3</v>
      </c>
      <c r="E51" s="7"/>
      <c r="F51" s="27"/>
      <c r="G51" s="27"/>
      <c r="H51" s="7"/>
    </row>
    <row r="52" customFormat="false" ht="15" hidden="false" customHeight="false" outlineLevel="0" collapsed="false">
      <c r="A52" s="29" t="s">
        <v>204</v>
      </c>
      <c r="B52" s="30" t="s">
        <v>78</v>
      </c>
      <c r="C52" s="30" t="n">
        <v>400</v>
      </c>
      <c r="D52" s="30" t="n">
        <v>1</v>
      </c>
      <c r="E52" s="7"/>
      <c r="F52" s="27"/>
      <c r="G52" s="27"/>
      <c r="H52" s="7"/>
    </row>
    <row r="53" customFormat="false" ht="15" hidden="false" customHeight="false" outlineLevel="0" collapsed="false">
      <c r="A53" s="29" t="s">
        <v>205</v>
      </c>
      <c r="B53" s="30" t="s">
        <v>78</v>
      </c>
      <c r="C53" s="30" t="n">
        <v>400</v>
      </c>
      <c r="D53" s="30" t="n">
        <v>2</v>
      </c>
      <c r="E53" s="7"/>
      <c r="F53" s="27"/>
      <c r="G53" s="27"/>
      <c r="H53" s="7"/>
    </row>
    <row r="54" customFormat="false" ht="15" hidden="false" customHeight="false" outlineLevel="0" collapsed="false">
      <c r="A54" s="29" t="s">
        <v>206</v>
      </c>
      <c r="B54" s="30" t="s">
        <v>78</v>
      </c>
      <c r="C54" s="30" t="n">
        <v>400</v>
      </c>
      <c r="D54" s="30" t="n">
        <v>3</v>
      </c>
      <c r="E54" s="7"/>
      <c r="F54" s="27"/>
      <c r="G54" s="27"/>
      <c r="H54" s="7"/>
    </row>
    <row r="55" customFormat="false" ht="15" hidden="false" customHeight="false" outlineLevel="0" collapsed="false">
      <c r="A55" s="29" t="s">
        <v>207</v>
      </c>
      <c r="B55" s="30" t="s">
        <v>79</v>
      </c>
      <c r="C55" s="30" t="n">
        <v>400</v>
      </c>
      <c r="D55" s="30" t="n">
        <v>1</v>
      </c>
      <c r="E55" s="7"/>
      <c r="F55" s="27"/>
      <c r="G55" s="27"/>
      <c r="H55" s="7"/>
    </row>
    <row r="56" customFormat="false" ht="15" hidden="false" customHeight="false" outlineLevel="0" collapsed="false">
      <c r="A56" s="29" t="s">
        <v>208</v>
      </c>
      <c r="B56" s="30" t="s">
        <v>79</v>
      </c>
      <c r="C56" s="30" t="n">
        <v>400</v>
      </c>
      <c r="D56" s="30" t="n">
        <v>2</v>
      </c>
      <c r="E56" s="7"/>
      <c r="F56" s="27"/>
      <c r="G56" s="27"/>
      <c r="H56" s="7"/>
    </row>
    <row r="57" customFormat="false" ht="15" hidden="false" customHeight="false" outlineLevel="0" collapsed="false">
      <c r="A57" s="29" t="s">
        <v>209</v>
      </c>
      <c r="B57" s="30" t="s">
        <v>79</v>
      </c>
      <c r="C57" s="30" t="n">
        <v>400</v>
      </c>
      <c r="D57" s="30" t="n">
        <v>3</v>
      </c>
      <c r="E57" s="7"/>
      <c r="F57" s="27"/>
      <c r="G57" s="27"/>
      <c r="H57" s="7"/>
    </row>
    <row r="58" customFormat="false" ht="15" hidden="false" customHeight="false" outlineLevel="0" collapsed="false">
      <c r="A58" s="29" t="s">
        <v>210</v>
      </c>
      <c r="B58" s="30" t="s">
        <v>81</v>
      </c>
      <c r="C58" s="30" t="n">
        <v>400</v>
      </c>
      <c r="D58" s="30" t="n">
        <v>1</v>
      </c>
      <c r="E58" s="7"/>
      <c r="F58" s="27"/>
      <c r="G58" s="27"/>
      <c r="H58" s="7"/>
    </row>
    <row r="59" customFormat="false" ht="15" hidden="false" customHeight="false" outlineLevel="0" collapsed="false">
      <c r="A59" s="29" t="s">
        <v>211</v>
      </c>
      <c r="B59" s="30" t="s">
        <v>81</v>
      </c>
      <c r="C59" s="30" t="n">
        <v>400</v>
      </c>
      <c r="D59" s="30" t="n">
        <v>2</v>
      </c>
      <c r="E59" s="7"/>
      <c r="F59" s="27"/>
      <c r="G59" s="27"/>
      <c r="H59" s="7"/>
    </row>
    <row r="60" customFormat="false" ht="15" hidden="false" customHeight="false" outlineLevel="0" collapsed="false">
      <c r="A60" s="29" t="s">
        <v>212</v>
      </c>
      <c r="B60" s="30" t="s">
        <v>81</v>
      </c>
      <c r="C60" s="30" t="n">
        <v>400</v>
      </c>
      <c r="D60" s="30" t="n">
        <v>3</v>
      </c>
      <c r="E60" s="7"/>
      <c r="F60" s="27"/>
      <c r="G60" s="27"/>
      <c r="H60" s="7"/>
    </row>
    <row r="61" customFormat="false" ht="15" hidden="false" customHeight="false" outlineLevel="0" collapsed="false">
      <c r="A61" s="29" t="s">
        <v>213</v>
      </c>
      <c r="B61" s="30" t="s">
        <v>83</v>
      </c>
      <c r="C61" s="30" t="n">
        <v>400</v>
      </c>
      <c r="D61" s="30" t="n">
        <v>1</v>
      </c>
      <c r="E61" s="7"/>
      <c r="F61" s="27"/>
      <c r="G61" s="27"/>
      <c r="H61" s="7"/>
    </row>
    <row r="62" customFormat="false" ht="15" hidden="false" customHeight="false" outlineLevel="0" collapsed="false">
      <c r="A62" s="29" t="s">
        <v>214</v>
      </c>
      <c r="B62" s="30" t="s">
        <v>83</v>
      </c>
      <c r="C62" s="30" t="n">
        <v>400</v>
      </c>
      <c r="D62" s="30" t="n">
        <v>2</v>
      </c>
      <c r="E62" s="7"/>
      <c r="F62" s="27"/>
      <c r="G62" s="27"/>
      <c r="H62" s="7"/>
    </row>
    <row r="63" customFormat="false" ht="15" hidden="false" customHeight="false" outlineLevel="0" collapsed="false">
      <c r="A63" s="29" t="s">
        <v>215</v>
      </c>
      <c r="B63" s="30" t="s">
        <v>83</v>
      </c>
      <c r="C63" s="30" t="n">
        <v>400</v>
      </c>
      <c r="D63" s="30" t="n">
        <v>3</v>
      </c>
      <c r="E63" s="7"/>
      <c r="F63" s="27"/>
      <c r="G63" s="27"/>
      <c r="H63" s="7"/>
    </row>
    <row r="64" customFormat="false" ht="15" hidden="false" customHeight="false" outlineLevel="0" collapsed="false">
      <c r="A64" s="29" t="s">
        <v>216</v>
      </c>
      <c r="B64" s="30" t="s">
        <v>85</v>
      </c>
      <c r="C64" s="30" t="n">
        <v>400</v>
      </c>
      <c r="D64" s="30" t="n">
        <v>1</v>
      </c>
      <c r="E64" s="7"/>
      <c r="F64" s="27"/>
      <c r="G64" s="27"/>
      <c r="H64" s="7"/>
    </row>
    <row r="65" customFormat="false" ht="15" hidden="false" customHeight="false" outlineLevel="0" collapsed="false">
      <c r="A65" s="29" t="s">
        <v>217</v>
      </c>
      <c r="B65" s="30" t="s">
        <v>85</v>
      </c>
      <c r="C65" s="30" t="n">
        <v>400</v>
      </c>
      <c r="D65" s="30" t="n">
        <v>2</v>
      </c>
      <c r="E65" s="7"/>
      <c r="F65" s="27"/>
      <c r="G65" s="27"/>
      <c r="H65" s="7"/>
    </row>
    <row r="66" customFormat="false" ht="15" hidden="false" customHeight="false" outlineLevel="0" collapsed="false">
      <c r="A66" s="29" t="s">
        <v>218</v>
      </c>
      <c r="B66" s="30" t="s">
        <v>85</v>
      </c>
      <c r="C66" s="30" t="n">
        <v>400</v>
      </c>
      <c r="D66" s="30" t="n">
        <v>3</v>
      </c>
      <c r="E66" s="7"/>
      <c r="F66" s="27"/>
      <c r="G66" s="27"/>
      <c r="H66" s="7"/>
    </row>
    <row r="67" customFormat="false" ht="15" hidden="false" customHeight="false" outlineLevel="0" collapsed="false">
      <c r="A67" s="29" t="s">
        <v>219</v>
      </c>
      <c r="B67" s="30" t="s">
        <v>86</v>
      </c>
      <c r="C67" s="30" t="n">
        <v>400</v>
      </c>
      <c r="D67" s="30" t="n">
        <v>1</v>
      </c>
      <c r="E67" s="7"/>
      <c r="F67" s="27"/>
      <c r="G67" s="27"/>
      <c r="H67" s="7"/>
    </row>
    <row r="68" customFormat="false" ht="15" hidden="false" customHeight="false" outlineLevel="0" collapsed="false">
      <c r="A68" s="29" t="s">
        <v>220</v>
      </c>
      <c r="B68" s="30" t="s">
        <v>86</v>
      </c>
      <c r="C68" s="30" t="n">
        <v>400</v>
      </c>
      <c r="D68" s="30" t="n">
        <v>2</v>
      </c>
      <c r="E68" s="7"/>
      <c r="F68" s="27"/>
      <c r="G68" s="27"/>
      <c r="H68" s="7"/>
    </row>
    <row r="69" customFormat="false" ht="15" hidden="false" customHeight="false" outlineLevel="0" collapsed="false">
      <c r="A69" s="29" t="s">
        <v>221</v>
      </c>
      <c r="B69" s="30" t="s">
        <v>86</v>
      </c>
      <c r="C69" s="30" t="n">
        <v>400</v>
      </c>
      <c r="D69" s="30" t="n">
        <v>3</v>
      </c>
      <c r="E69" s="7"/>
      <c r="F69" s="27"/>
      <c r="G69" s="27"/>
      <c r="H69" s="7"/>
    </row>
    <row r="70" customFormat="false" ht="15" hidden="false" customHeight="false" outlineLevel="0" collapsed="false">
      <c r="A70" s="29" t="s">
        <v>222</v>
      </c>
      <c r="B70" s="30" t="s">
        <v>88</v>
      </c>
      <c r="C70" s="30" t="n">
        <v>400</v>
      </c>
      <c r="D70" s="30" t="n">
        <v>1</v>
      </c>
      <c r="E70" s="7"/>
      <c r="F70" s="27"/>
      <c r="G70" s="27"/>
      <c r="H70" s="7"/>
    </row>
    <row r="71" customFormat="false" ht="15" hidden="false" customHeight="false" outlineLevel="0" collapsed="false">
      <c r="A71" s="29" t="s">
        <v>223</v>
      </c>
      <c r="B71" s="30" t="s">
        <v>88</v>
      </c>
      <c r="C71" s="30" t="n">
        <v>400</v>
      </c>
      <c r="D71" s="30" t="n">
        <v>2</v>
      </c>
      <c r="E71" s="7"/>
      <c r="F71" s="27"/>
      <c r="G71" s="27"/>
      <c r="H71" s="7"/>
    </row>
    <row r="72" customFormat="false" ht="15" hidden="false" customHeight="false" outlineLevel="0" collapsed="false">
      <c r="A72" s="29" t="s">
        <v>224</v>
      </c>
      <c r="B72" s="30" t="s">
        <v>88</v>
      </c>
      <c r="C72" s="30" t="n">
        <v>400</v>
      </c>
      <c r="D72" s="30" t="n">
        <v>3</v>
      </c>
      <c r="E72" s="7"/>
      <c r="F72" s="27"/>
      <c r="G72" s="27"/>
      <c r="H72" s="7"/>
    </row>
    <row r="73" customFormat="false" ht="15" hidden="false" customHeight="false" outlineLevel="0" collapsed="false">
      <c r="A73" s="29" t="s">
        <v>225</v>
      </c>
      <c r="B73" s="30" t="s">
        <v>89</v>
      </c>
      <c r="C73" s="30" t="n">
        <v>400</v>
      </c>
      <c r="D73" s="30" t="n">
        <v>1</v>
      </c>
      <c r="E73" s="7"/>
      <c r="F73" s="27"/>
      <c r="G73" s="27"/>
      <c r="H73" s="7"/>
    </row>
    <row r="74" customFormat="false" ht="15" hidden="false" customHeight="false" outlineLevel="0" collapsed="false">
      <c r="A74" s="29" t="s">
        <v>226</v>
      </c>
      <c r="B74" s="30" t="s">
        <v>89</v>
      </c>
      <c r="C74" s="30" t="n">
        <v>400</v>
      </c>
      <c r="D74" s="30" t="n">
        <v>2</v>
      </c>
      <c r="E74" s="7"/>
      <c r="F74" s="27"/>
      <c r="G74" s="27"/>
      <c r="H74" s="7"/>
    </row>
    <row r="75" customFormat="false" ht="15" hidden="false" customHeight="false" outlineLevel="0" collapsed="false">
      <c r="A75" s="29" t="s">
        <v>227</v>
      </c>
      <c r="B75" s="30" t="s">
        <v>89</v>
      </c>
      <c r="C75" s="30" t="n">
        <v>400</v>
      </c>
      <c r="D75" s="30" t="n">
        <v>3</v>
      </c>
      <c r="E75" s="7"/>
      <c r="F75" s="27"/>
      <c r="G75" s="27"/>
      <c r="H75" s="7"/>
    </row>
    <row r="76" customFormat="false" ht="15" hidden="false" customHeight="false" outlineLevel="0" collapsed="false">
      <c r="A76" s="29" t="s">
        <v>228</v>
      </c>
      <c r="B76" s="30" t="s">
        <v>70</v>
      </c>
      <c r="C76" s="30" t="n">
        <v>600</v>
      </c>
      <c r="D76" s="30" t="n">
        <v>1</v>
      </c>
      <c r="E76" s="7"/>
      <c r="F76" s="27"/>
      <c r="G76" s="27"/>
      <c r="H76" s="7"/>
    </row>
    <row r="77" customFormat="false" ht="15" hidden="false" customHeight="false" outlineLevel="0" collapsed="false">
      <c r="A77" s="29" t="s">
        <v>229</v>
      </c>
      <c r="B77" s="30" t="s">
        <v>70</v>
      </c>
      <c r="C77" s="30" t="n">
        <v>600</v>
      </c>
      <c r="D77" s="30" t="n">
        <v>2</v>
      </c>
      <c r="E77" s="7"/>
      <c r="F77" s="27"/>
      <c r="G77" s="27"/>
      <c r="H77" s="7"/>
    </row>
    <row r="78" customFormat="false" ht="15" hidden="false" customHeight="false" outlineLevel="0" collapsed="false">
      <c r="A78" s="29" t="s">
        <v>230</v>
      </c>
      <c r="B78" s="30" t="s">
        <v>70</v>
      </c>
      <c r="C78" s="30" t="n">
        <v>600</v>
      </c>
      <c r="D78" s="30" t="n">
        <v>3</v>
      </c>
      <c r="E78" s="7"/>
      <c r="F78" s="27"/>
      <c r="G78" s="27"/>
      <c r="H78" s="7"/>
    </row>
    <row r="79" customFormat="false" ht="15" hidden="false" customHeight="false" outlineLevel="0" collapsed="false">
      <c r="A79" s="29" t="s">
        <v>231</v>
      </c>
      <c r="B79" s="30" t="s">
        <v>74</v>
      </c>
      <c r="C79" s="30" t="n">
        <v>600</v>
      </c>
      <c r="D79" s="30" t="n">
        <v>1</v>
      </c>
      <c r="E79" s="7"/>
      <c r="F79" s="27"/>
      <c r="G79" s="27"/>
      <c r="H79" s="7"/>
    </row>
    <row r="80" customFormat="false" ht="15" hidden="false" customHeight="false" outlineLevel="0" collapsed="false">
      <c r="A80" s="29" t="s">
        <v>232</v>
      </c>
      <c r="B80" s="30" t="s">
        <v>74</v>
      </c>
      <c r="C80" s="30" t="n">
        <v>600</v>
      </c>
      <c r="D80" s="30" t="n">
        <v>2</v>
      </c>
      <c r="E80" s="7"/>
      <c r="F80" s="27"/>
      <c r="G80" s="27"/>
      <c r="H80" s="7"/>
    </row>
    <row r="81" customFormat="false" ht="15" hidden="false" customHeight="false" outlineLevel="0" collapsed="false">
      <c r="A81" s="29" t="s">
        <v>233</v>
      </c>
      <c r="B81" s="30" t="s">
        <v>74</v>
      </c>
      <c r="C81" s="30" t="n">
        <v>600</v>
      </c>
      <c r="D81" s="30" t="n">
        <v>3</v>
      </c>
      <c r="E81" s="7"/>
      <c r="F81" s="27"/>
      <c r="G81" s="27"/>
      <c r="H81" s="7"/>
    </row>
    <row r="82" customFormat="false" ht="15" hidden="false" customHeight="false" outlineLevel="0" collapsed="false">
      <c r="A82" s="29" t="s">
        <v>234</v>
      </c>
      <c r="B82" s="30" t="s">
        <v>76</v>
      </c>
      <c r="C82" s="30" t="n">
        <v>600</v>
      </c>
      <c r="D82" s="30" t="n">
        <v>1</v>
      </c>
      <c r="E82" s="7"/>
      <c r="F82" s="27"/>
      <c r="G82" s="27"/>
      <c r="H82" s="7"/>
    </row>
    <row r="83" customFormat="false" ht="15" hidden="false" customHeight="false" outlineLevel="0" collapsed="false">
      <c r="A83" s="29" t="s">
        <v>235</v>
      </c>
      <c r="B83" s="30" t="s">
        <v>76</v>
      </c>
      <c r="C83" s="30" t="n">
        <v>600</v>
      </c>
      <c r="D83" s="30" t="n">
        <v>2</v>
      </c>
      <c r="E83" s="7"/>
      <c r="F83" s="27"/>
      <c r="G83" s="27"/>
      <c r="H83" s="7"/>
    </row>
    <row r="84" customFormat="false" ht="15" hidden="false" customHeight="false" outlineLevel="0" collapsed="false">
      <c r="A84" s="29" t="s">
        <v>236</v>
      </c>
      <c r="B84" s="30" t="s">
        <v>76</v>
      </c>
      <c r="C84" s="30" t="n">
        <v>600</v>
      </c>
      <c r="D84" s="30" t="n">
        <v>3</v>
      </c>
      <c r="E84" s="7"/>
      <c r="F84" s="27"/>
      <c r="G84" s="27"/>
      <c r="H84" s="7"/>
    </row>
    <row r="85" customFormat="false" ht="15" hidden="false" customHeight="false" outlineLevel="0" collapsed="false">
      <c r="A85" s="29" t="s">
        <v>237</v>
      </c>
      <c r="B85" s="30" t="s">
        <v>77</v>
      </c>
      <c r="C85" s="30" t="n">
        <v>600</v>
      </c>
      <c r="D85" s="30" t="n">
        <v>1</v>
      </c>
      <c r="E85" s="7"/>
      <c r="F85" s="27"/>
      <c r="G85" s="27"/>
      <c r="H85" s="7"/>
    </row>
    <row r="86" customFormat="false" ht="15" hidden="false" customHeight="false" outlineLevel="0" collapsed="false">
      <c r="A86" s="29" t="s">
        <v>238</v>
      </c>
      <c r="B86" s="30" t="s">
        <v>77</v>
      </c>
      <c r="C86" s="30" t="n">
        <v>600</v>
      </c>
      <c r="D86" s="30" t="n">
        <v>2</v>
      </c>
      <c r="E86" s="7"/>
      <c r="F86" s="27"/>
      <c r="G86" s="27"/>
      <c r="H86" s="7"/>
    </row>
    <row r="87" customFormat="false" ht="15" hidden="false" customHeight="false" outlineLevel="0" collapsed="false">
      <c r="A87" s="29" t="s">
        <v>239</v>
      </c>
      <c r="B87" s="30" t="s">
        <v>77</v>
      </c>
      <c r="C87" s="30" t="n">
        <v>600</v>
      </c>
      <c r="D87" s="30" t="n">
        <v>3</v>
      </c>
      <c r="E87" s="7"/>
      <c r="F87" s="27"/>
      <c r="G87" s="27"/>
      <c r="H87" s="7"/>
    </row>
    <row r="88" customFormat="false" ht="15" hidden="false" customHeight="false" outlineLevel="0" collapsed="false">
      <c r="A88" s="29" t="s">
        <v>240</v>
      </c>
      <c r="B88" s="30" t="s">
        <v>78</v>
      </c>
      <c r="C88" s="30" t="n">
        <v>600</v>
      </c>
      <c r="D88" s="30" t="n">
        <v>1</v>
      </c>
      <c r="E88" s="7"/>
      <c r="F88" s="27"/>
      <c r="G88" s="27"/>
      <c r="H88" s="7"/>
    </row>
    <row r="89" customFormat="false" ht="15" hidden="false" customHeight="false" outlineLevel="0" collapsed="false">
      <c r="A89" s="29" t="s">
        <v>241</v>
      </c>
      <c r="B89" s="30" t="s">
        <v>78</v>
      </c>
      <c r="C89" s="30" t="n">
        <v>600</v>
      </c>
      <c r="D89" s="30" t="n">
        <v>2</v>
      </c>
      <c r="E89" s="7"/>
      <c r="F89" s="27"/>
      <c r="G89" s="27"/>
      <c r="H89" s="7"/>
    </row>
    <row r="90" customFormat="false" ht="15" hidden="false" customHeight="false" outlineLevel="0" collapsed="false">
      <c r="A90" s="29" t="s">
        <v>242</v>
      </c>
      <c r="B90" s="30" t="s">
        <v>78</v>
      </c>
      <c r="C90" s="30" t="n">
        <v>600</v>
      </c>
      <c r="D90" s="30" t="n">
        <v>3</v>
      </c>
      <c r="E90" s="7"/>
      <c r="F90" s="27"/>
      <c r="G90" s="27"/>
      <c r="H90" s="7"/>
    </row>
    <row r="91" customFormat="false" ht="15" hidden="false" customHeight="false" outlineLevel="0" collapsed="false">
      <c r="A91" s="29" t="s">
        <v>243</v>
      </c>
      <c r="B91" s="30" t="s">
        <v>79</v>
      </c>
      <c r="C91" s="30" t="n">
        <v>600</v>
      </c>
      <c r="D91" s="30" t="n">
        <v>1</v>
      </c>
      <c r="E91" s="7"/>
      <c r="F91" s="27"/>
      <c r="G91" s="27"/>
      <c r="H91" s="7"/>
    </row>
    <row r="92" customFormat="false" ht="15" hidden="false" customHeight="false" outlineLevel="0" collapsed="false">
      <c r="A92" s="29" t="s">
        <v>244</v>
      </c>
      <c r="B92" s="30" t="s">
        <v>79</v>
      </c>
      <c r="C92" s="30" t="n">
        <v>600</v>
      </c>
      <c r="D92" s="30" t="n">
        <v>2</v>
      </c>
      <c r="E92" s="7"/>
      <c r="F92" s="27"/>
      <c r="G92" s="27"/>
      <c r="H92" s="7"/>
    </row>
    <row r="93" customFormat="false" ht="15" hidden="false" customHeight="false" outlineLevel="0" collapsed="false">
      <c r="A93" s="29" t="s">
        <v>245</v>
      </c>
      <c r="B93" s="30" t="s">
        <v>79</v>
      </c>
      <c r="C93" s="30" t="n">
        <v>600</v>
      </c>
      <c r="D93" s="30" t="n">
        <v>3</v>
      </c>
      <c r="E93" s="7"/>
      <c r="F93" s="27"/>
      <c r="G93" s="27"/>
      <c r="H93" s="7"/>
    </row>
    <row r="94" customFormat="false" ht="15" hidden="false" customHeight="false" outlineLevel="0" collapsed="false">
      <c r="A94" s="29" t="s">
        <v>246</v>
      </c>
      <c r="B94" s="30" t="s">
        <v>81</v>
      </c>
      <c r="C94" s="30" t="n">
        <v>600</v>
      </c>
      <c r="D94" s="30" t="n">
        <v>1</v>
      </c>
      <c r="E94" s="7"/>
      <c r="F94" s="27"/>
      <c r="G94" s="27"/>
      <c r="H94" s="7"/>
    </row>
    <row r="95" customFormat="false" ht="15" hidden="false" customHeight="false" outlineLevel="0" collapsed="false">
      <c r="A95" s="29" t="s">
        <v>247</v>
      </c>
      <c r="B95" s="30" t="s">
        <v>81</v>
      </c>
      <c r="C95" s="30" t="n">
        <v>600</v>
      </c>
      <c r="D95" s="30" t="n">
        <v>2</v>
      </c>
      <c r="E95" s="7"/>
      <c r="F95" s="27"/>
      <c r="G95" s="27"/>
      <c r="H95" s="7"/>
    </row>
    <row r="96" customFormat="false" ht="15" hidden="false" customHeight="false" outlineLevel="0" collapsed="false">
      <c r="A96" s="29" t="s">
        <v>248</v>
      </c>
      <c r="B96" s="30" t="s">
        <v>81</v>
      </c>
      <c r="C96" s="30" t="n">
        <v>600</v>
      </c>
      <c r="D96" s="30" t="n">
        <v>3</v>
      </c>
      <c r="E96" s="7"/>
      <c r="F96" s="27"/>
      <c r="G96" s="27"/>
      <c r="H96" s="7"/>
    </row>
    <row r="97" customFormat="false" ht="15" hidden="false" customHeight="false" outlineLevel="0" collapsed="false">
      <c r="A97" s="29" t="s">
        <v>249</v>
      </c>
      <c r="B97" s="30" t="s">
        <v>83</v>
      </c>
      <c r="C97" s="30" t="n">
        <v>600</v>
      </c>
      <c r="D97" s="30" t="n">
        <v>1</v>
      </c>
      <c r="E97" s="7"/>
      <c r="F97" s="27"/>
      <c r="G97" s="27"/>
      <c r="H97" s="7"/>
    </row>
    <row r="98" customFormat="false" ht="15" hidden="false" customHeight="false" outlineLevel="0" collapsed="false">
      <c r="A98" s="29" t="s">
        <v>250</v>
      </c>
      <c r="B98" s="30" t="s">
        <v>83</v>
      </c>
      <c r="C98" s="30" t="n">
        <v>600</v>
      </c>
      <c r="D98" s="30" t="n">
        <v>2</v>
      </c>
      <c r="E98" s="7"/>
      <c r="F98" s="27"/>
      <c r="G98" s="27"/>
      <c r="H98" s="7"/>
    </row>
    <row r="99" customFormat="false" ht="15" hidden="false" customHeight="false" outlineLevel="0" collapsed="false">
      <c r="A99" s="29" t="s">
        <v>251</v>
      </c>
      <c r="B99" s="30" t="s">
        <v>83</v>
      </c>
      <c r="C99" s="30" t="n">
        <v>600</v>
      </c>
      <c r="D99" s="30" t="n">
        <v>3</v>
      </c>
      <c r="E99" s="7"/>
      <c r="F99" s="27"/>
      <c r="G99" s="27"/>
      <c r="H99" s="7"/>
    </row>
    <row r="100" customFormat="false" ht="15" hidden="false" customHeight="false" outlineLevel="0" collapsed="false">
      <c r="A100" s="29" t="s">
        <v>252</v>
      </c>
      <c r="B100" s="30" t="s">
        <v>85</v>
      </c>
      <c r="C100" s="30" t="n">
        <v>600</v>
      </c>
      <c r="D100" s="30" t="n">
        <v>1</v>
      </c>
      <c r="E100" s="7"/>
      <c r="F100" s="27"/>
      <c r="G100" s="27"/>
      <c r="H100" s="7"/>
    </row>
    <row r="101" customFormat="false" ht="15" hidden="false" customHeight="false" outlineLevel="0" collapsed="false">
      <c r="A101" s="29" t="s">
        <v>253</v>
      </c>
      <c r="B101" s="30" t="s">
        <v>85</v>
      </c>
      <c r="C101" s="30" t="n">
        <v>600</v>
      </c>
      <c r="D101" s="30" t="n">
        <v>2</v>
      </c>
      <c r="E101" s="7"/>
      <c r="F101" s="27"/>
      <c r="G101" s="27"/>
      <c r="H101" s="7"/>
    </row>
    <row r="102" customFormat="false" ht="15" hidden="false" customHeight="false" outlineLevel="0" collapsed="false">
      <c r="A102" s="29" t="s">
        <v>254</v>
      </c>
      <c r="B102" s="30" t="s">
        <v>85</v>
      </c>
      <c r="C102" s="30" t="n">
        <v>600</v>
      </c>
      <c r="D102" s="30" t="n">
        <v>3</v>
      </c>
      <c r="E102" s="7"/>
      <c r="F102" s="27"/>
      <c r="G102" s="27"/>
      <c r="H102" s="7"/>
    </row>
    <row r="103" customFormat="false" ht="15" hidden="false" customHeight="false" outlineLevel="0" collapsed="false">
      <c r="A103" s="29" t="s">
        <v>255</v>
      </c>
      <c r="B103" s="30" t="s">
        <v>86</v>
      </c>
      <c r="C103" s="30" t="n">
        <v>600</v>
      </c>
      <c r="D103" s="30" t="n">
        <v>1</v>
      </c>
      <c r="E103" s="7"/>
      <c r="F103" s="27"/>
      <c r="G103" s="27"/>
      <c r="H103" s="7"/>
    </row>
    <row r="104" customFormat="false" ht="15" hidden="false" customHeight="false" outlineLevel="0" collapsed="false">
      <c r="A104" s="29" t="s">
        <v>256</v>
      </c>
      <c r="B104" s="30" t="s">
        <v>86</v>
      </c>
      <c r="C104" s="30" t="n">
        <v>600</v>
      </c>
      <c r="D104" s="30" t="n">
        <v>2</v>
      </c>
      <c r="E104" s="7"/>
      <c r="F104" s="27"/>
      <c r="G104" s="27"/>
      <c r="H104" s="7"/>
    </row>
    <row r="105" customFormat="false" ht="15" hidden="false" customHeight="false" outlineLevel="0" collapsed="false">
      <c r="A105" s="29" t="s">
        <v>257</v>
      </c>
      <c r="B105" s="30" t="s">
        <v>86</v>
      </c>
      <c r="C105" s="30" t="n">
        <v>600</v>
      </c>
      <c r="D105" s="30" t="n">
        <v>3</v>
      </c>
      <c r="E105" s="7"/>
      <c r="F105" s="27"/>
      <c r="G105" s="27"/>
      <c r="H105" s="7"/>
    </row>
    <row r="106" customFormat="false" ht="15" hidden="false" customHeight="false" outlineLevel="0" collapsed="false">
      <c r="A106" s="29" t="s">
        <v>258</v>
      </c>
      <c r="B106" s="30" t="s">
        <v>88</v>
      </c>
      <c r="C106" s="30" t="n">
        <v>600</v>
      </c>
      <c r="D106" s="30" t="n">
        <v>1</v>
      </c>
      <c r="E106" s="7"/>
      <c r="F106" s="27"/>
      <c r="G106" s="27"/>
      <c r="H106" s="7"/>
    </row>
    <row r="107" customFormat="false" ht="15" hidden="false" customHeight="false" outlineLevel="0" collapsed="false">
      <c r="A107" s="29" t="s">
        <v>259</v>
      </c>
      <c r="B107" s="30" t="s">
        <v>88</v>
      </c>
      <c r="C107" s="30" t="n">
        <v>600</v>
      </c>
      <c r="D107" s="30" t="n">
        <v>2</v>
      </c>
      <c r="E107" s="7"/>
      <c r="F107" s="27"/>
      <c r="G107" s="27"/>
      <c r="H107" s="7"/>
    </row>
    <row r="108" customFormat="false" ht="15" hidden="false" customHeight="false" outlineLevel="0" collapsed="false">
      <c r="A108" s="29" t="s">
        <v>260</v>
      </c>
      <c r="B108" s="30" t="s">
        <v>88</v>
      </c>
      <c r="C108" s="30" t="n">
        <v>600</v>
      </c>
      <c r="D108" s="30" t="n">
        <v>3</v>
      </c>
      <c r="E108" s="7"/>
      <c r="F108" s="27"/>
      <c r="G108" s="27"/>
      <c r="H108" s="7"/>
    </row>
    <row r="109" customFormat="false" ht="15" hidden="false" customHeight="false" outlineLevel="0" collapsed="false">
      <c r="A109" s="29" t="s">
        <v>261</v>
      </c>
      <c r="B109" s="30" t="s">
        <v>89</v>
      </c>
      <c r="C109" s="30" t="n">
        <v>600</v>
      </c>
      <c r="D109" s="30" t="n">
        <v>1</v>
      </c>
      <c r="E109" s="7"/>
      <c r="F109" s="27"/>
      <c r="G109" s="27"/>
      <c r="H109" s="7"/>
    </row>
    <row r="110" customFormat="false" ht="15" hidden="false" customHeight="false" outlineLevel="0" collapsed="false">
      <c r="A110" s="29" t="s">
        <v>262</v>
      </c>
      <c r="B110" s="30" t="s">
        <v>89</v>
      </c>
      <c r="C110" s="30" t="n">
        <v>600</v>
      </c>
      <c r="D110" s="30" t="n">
        <v>2</v>
      </c>
      <c r="E110" s="7"/>
      <c r="F110" s="27"/>
      <c r="G110" s="27"/>
      <c r="H110" s="7"/>
    </row>
    <row r="111" customFormat="false" ht="15" hidden="false" customHeight="false" outlineLevel="0" collapsed="false">
      <c r="A111" s="29" t="s">
        <v>263</v>
      </c>
      <c r="B111" s="30" t="s">
        <v>89</v>
      </c>
      <c r="C111" s="30" t="n">
        <v>600</v>
      </c>
      <c r="D111" s="30" t="n">
        <v>3</v>
      </c>
      <c r="E111" s="7"/>
      <c r="F111" s="27"/>
      <c r="G111" s="27"/>
      <c r="H111" s="7"/>
    </row>
    <row r="112" customFormat="false" ht="15" hidden="false" customHeight="false" outlineLevel="0" collapsed="false">
      <c r="A112" s="29" t="s">
        <v>264</v>
      </c>
      <c r="B112" s="30" t="s">
        <v>70</v>
      </c>
      <c r="C112" s="30" t="n">
        <v>800</v>
      </c>
      <c r="D112" s="30" t="n">
        <v>1</v>
      </c>
      <c r="E112" s="7"/>
      <c r="F112" s="27"/>
      <c r="G112" s="27"/>
      <c r="H112" s="7"/>
    </row>
    <row r="113" customFormat="false" ht="15" hidden="false" customHeight="false" outlineLevel="0" collapsed="false">
      <c r="A113" s="29" t="s">
        <v>265</v>
      </c>
      <c r="B113" s="30" t="s">
        <v>70</v>
      </c>
      <c r="C113" s="30" t="n">
        <v>800</v>
      </c>
      <c r="D113" s="30" t="n">
        <v>2</v>
      </c>
      <c r="E113" s="7"/>
      <c r="F113" s="27"/>
      <c r="G113" s="27"/>
      <c r="H113" s="7"/>
    </row>
    <row r="114" customFormat="false" ht="15" hidden="false" customHeight="false" outlineLevel="0" collapsed="false">
      <c r="A114" s="29" t="s">
        <v>266</v>
      </c>
      <c r="B114" s="30" t="s">
        <v>70</v>
      </c>
      <c r="C114" s="30" t="n">
        <v>800</v>
      </c>
      <c r="D114" s="30" t="n">
        <v>3</v>
      </c>
      <c r="E114" s="7"/>
      <c r="F114" s="27"/>
      <c r="G114" s="27"/>
      <c r="H114" s="7"/>
    </row>
    <row r="115" customFormat="false" ht="15" hidden="false" customHeight="false" outlineLevel="0" collapsed="false">
      <c r="A115" s="29" t="s">
        <v>267</v>
      </c>
      <c r="B115" s="30" t="s">
        <v>74</v>
      </c>
      <c r="C115" s="30" t="n">
        <v>800</v>
      </c>
      <c r="D115" s="30" t="n">
        <v>1</v>
      </c>
      <c r="E115" s="7"/>
      <c r="F115" s="27"/>
      <c r="G115" s="27"/>
      <c r="H115" s="7"/>
    </row>
    <row r="116" customFormat="false" ht="15" hidden="false" customHeight="false" outlineLevel="0" collapsed="false">
      <c r="A116" s="29" t="s">
        <v>268</v>
      </c>
      <c r="B116" s="30" t="s">
        <v>74</v>
      </c>
      <c r="C116" s="30" t="n">
        <v>800</v>
      </c>
      <c r="D116" s="30" t="n">
        <v>2</v>
      </c>
      <c r="E116" s="7"/>
      <c r="F116" s="27"/>
      <c r="G116" s="27"/>
      <c r="H116" s="7"/>
    </row>
    <row r="117" customFormat="false" ht="15" hidden="false" customHeight="false" outlineLevel="0" collapsed="false">
      <c r="A117" s="29" t="s">
        <v>269</v>
      </c>
      <c r="B117" s="30" t="s">
        <v>74</v>
      </c>
      <c r="C117" s="30" t="n">
        <v>800</v>
      </c>
      <c r="D117" s="30" t="n">
        <v>3</v>
      </c>
      <c r="E117" s="7"/>
      <c r="F117" s="27"/>
      <c r="G117" s="27"/>
      <c r="H117" s="7"/>
    </row>
    <row r="118" customFormat="false" ht="15" hidden="false" customHeight="false" outlineLevel="0" collapsed="false">
      <c r="A118" s="29" t="s">
        <v>270</v>
      </c>
      <c r="B118" s="30" t="s">
        <v>76</v>
      </c>
      <c r="C118" s="30" t="n">
        <v>800</v>
      </c>
      <c r="D118" s="30" t="n">
        <v>1</v>
      </c>
      <c r="E118" s="7"/>
      <c r="F118" s="27"/>
      <c r="G118" s="27"/>
      <c r="H118" s="7"/>
    </row>
    <row r="119" customFormat="false" ht="15" hidden="false" customHeight="false" outlineLevel="0" collapsed="false">
      <c r="A119" s="29" t="s">
        <v>271</v>
      </c>
      <c r="B119" s="30" t="s">
        <v>76</v>
      </c>
      <c r="C119" s="30" t="n">
        <v>800</v>
      </c>
      <c r="D119" s="30" t="n">
        <v>2</v>
      </c>
      <c r="E119" s="7"/>
      <c r="F119" s="27"/>
      <c r="G119" s="27"/>
      <c r="H119" s="7"/>
    </row>
    <row r="120" customFormat="false" ht="15" hidden="false" customHeight="false" outlineLevel="0" collapsed="false">
      <c r="A120" s="29" t="s">
        <v>272</v>
      </c>
      <c r="B120" s="30" t="s">
        <v>76</v>
      </c>
      <c r="C120" s="30" t="n">
        <v>800</v>
      </c>
      <c r="D120" s="30" t="n">
        <v>3</v>
      </c>
      <c r="E120" s="7"/>
      <c r="F120" s="27"/>
      <c r="G120" s="27"/>
      <c r="H120" s="7"/>
    </row>
    <row r="121" customFormat="false" ht="15" hidden="false" customHeight="false" outlineLevel="0" collapsed="false">
      <c r="A121" s="29" t="s">
        <v>273</v>
      </c>
      <c r="B121" s="30" t="s">
        <v>77</v>
      </c>
      <c r="C121" s="30" t="n">
        <v>800</v>
      </c>
      <c r="D121" s="30" t="n">
        <v>1</v>
      </c>
      <c r="E121" s="7"/>
      <c r="F121" s="27"/>
      <c r="G121" s="27"/>
      <c r="H121" s="7"/>
    </row>
    <row r="122" customFormat="false" ht="15" hidden="false" customHeight="false" outlineLevel="0" collapsed="false">
      <c r="A122" s="29" t="s">
        <v>274</v>
      </c>
      <c r="B122" s="30" t="s">
        <v>77</v>
      </c>
      <c r="C122" s="30" t="n">
        <v>800</v>
      </c>
      <c r="D122" s="30" t="n">
        <v>2</v>
      </c>
      <c r="E122" s="7"/>
      <c r="F122" s="27"/>
      <c r="G122" s="27"/>
      <c r="H122" s="7"/>
    </row>
    <row r="123" customFormat="false" ht="15" hidden="false" customHeight="false" outlineLevel="0" collapsed="false">
      <c r="A123" s="29" t="s">
        <v>275</v>
      </c>
      <c r="B123" s="30" t="s">
        <v>77</v>
      </c>
      <c r="C123" s="30" t="n">
        <v>800</v>
      </c>
      <c r="D123" s="30" t="n">
        <v>3</v>
      </c>
      <c r="E123" s="7"/>
      <c r="F123" s="27"/>
      <c r="G123" s="27"/>
      <c r="H123" s="7"/>
    </row>
    <row r="124" customFormat="false" ht="15" hidden="false" customHeight="false" outlineLevel="0" collapsed="false">
      <c r="A124" s="29" t="s">
        <v>276</v>
      </c>
      <c r="B124" s="30" t="s">
        <v>78</v>
      </c>
      <c r="C124" s="30" t="n">
        <v>800</v>
      </c>
      <c r="D124" s="30" t="n">
        <v>1</v>
      </c>
      <c r="E124" s="7"/>
      <c r="F124" s="27"/>
      <c r="G124" s="27"/>
      <c r="H124" s="7"/>
    </row>
    <row r="125" customFormat="false" ht="15" hidden="false" customHeight="false" outlineLevel="0" collapsed="false">
      <c r="A125" s="29" t="s">
        <v>277</v>
      </c>
      <c r="B125" s="30" t="s">
        <v>78</v>
      </c>
      <c r="C125" s="30" t="n">
        <v>800</v>
      </c>
      <c r="D125" s="30" t="n">
        <v>2</v>
      </c>
      <c r="E125" s="7"/>
      <c r="F125" s="27"/>
      <c r="G125" s="27"/>
      <c r="H125" s="7"/>
    </row>
    <row r="126" customFormat="false" ht="15" hidden="false" customHeight="false" outlineLevel="0" collapsed="false">
      <c r="A126" s="29" t="s">
        <v>278</v>
      </c>
      <c r="B126" s="30" t="s">
        <v>78</v>
      </c>
      <c r="C126" s="30" t="n">
        <v>800</v>
      </c>
      <c r="D126" s="30" t="n">
        <v>3</v>
      </c>
      <c r="E126" s="7"/>
      <c r="F126" s="27"/>
      <c r="G126" s="27"/>
      <c r="H126" s="7"/>
    </row>
    <row r="127" customFormat="false" ht="15" hidden="false" customHeight="false" outlineLevel="0" collapsed="false">
      <c r="A127" s="29" t="s">
        <v>279</v>
      </c>
      <c r="B127" s="30" t="s">
        <v>79</v>
      </c>
      <c r="C127" s="30" t="n">
        <v>800</v>
      </c>
      <c r="D127" s="30" t="n">
        <v>1</v>
      </c>
      <c r="E127" s="7"/>
      <c r="F127" s="27"/>
      <c r="G127" s="27"/>
      <c r="H127" s="7"/>
    </row>
    <row r="128" customFormat="false" ht="15" hidden="false" customHeight="false" outlineLevel="0" collapsed="false">
      <c r="A128" s="29" t="s">
        <v>280</v>
      </c>
      <c r="B128" s="30" t="s">
        <v>79</v>
      </c>
      <c r="C128" s="30" t="n">
        <v>800</v>
      </c>
      <c r="D128" s="30" t="n">
        <v>2</v>
      </c>
      <c r="E128" s="7"/>
      <c r="F128" s="27"/>
      <c r="G128" s="27"/>
      <c r="H128" s="7"/>
    </row>
    <row r="129" customFormat="false" ht="15" hidden="false" customHeight="false" outlineLevel="0" collapsed="false">
      <c r="A129" s="29" t="s">
        <v>281</v>
      </c>
      <c r="B129" s="30" t="s">
        <v>79</v>
      </c>
      <c r="C129" s="30" t="n">
        <v>800</v>
      </c>
      <c r="D129" s="30" t="n">
        <v>3</v>
      </c>
      <c r="E129" s="7"/>
      <c r="F129" s="27"/>
      <c r="G129" s="27"/>
      <c r="H129" s="7"/>
    </row>
    <row r="130" customFormat="false" ht="15" hidden="false" customHeight="false" outlineLevel="0" collapsed="false">
      <c r="A130" s="29" t="s">
        <v>282</v>
      </c>
      <c r="B130" s="30" t="s">
        <v>81</v>
      </c>
      <c r="C130" s="30" t="n">
        <v>800</v>
      </c>
      <c r="D130" s="30" t="n">
        <v>1</v>
      </c>
      <c r="E130" s="7"/>
      <c r="F130" s="27"/>
      <c r="G130" s="27"/>
      <c r="H130" s="7"/>
    </row>
    <row r="131" customFormat="false" ht="15" hidden="false" customHeight="false" outlineLevel="0" collapsed="false">
      <c r="A131" s="29" t="s">
        <v>283</v>
      </c>
      <c r="B131" s="30" t="s">
        <v>81</v>
      </c>
      <c r="C131" s="30" t="n">
        <v>800</v>
      </c>
      <c r="D131" s="30" t="n">
        <v>2</v>
      </c>
      <c r="E131" s="7"/>
      <c r="F131" s="27"/>
      <c r="G131" s="27"/>
      <c r="H131" s="7"/>
    </row>
    <row r="132" customFormat="false" ht="15" hidden="false" customHeight="false" outlineLevel="0" collapsed="false">
      <c r="A132" s="29" t="s">
        <v>284</v>
      </c>
      <c r="B132" s="30" t="s">
        <v>81</v>
      </c>
      <c r="C132" s="30" t="n">
        <v>800</v>
      </c>
      <c r="D132" s="30" t="n">
        <v>3</v>
      </c>
      <c r="E132" s="7"/>
      <c r="F132" s="27"/>
      <c r="G132" s="27"/>
      <c r="H132" s="7"/>
    </row>
    <row r="133" customFormat="false" ht="15" hidden="false" customHeight="false" outlineLevel="0" collapsed="false">
      <c r="A133" s="29" t="s">
        <v>285</v>
      </c>
      <c r="B133" s="30" t="s">
        <v>83</v>
      </c>
      <c r="C133" s="30" t="n">
        <v>800</v>
      </c>
      <c r="D133" s="30" t="n">
        <v>1</v>
      </c>
      <c r="E133" s="7"/>
      <c r="F133" s="27"/>
      <c r="G133" s="27"/>
      <c r="H133" s="7"/>
    </row>
    <row r="134" customFormat="false" ht="15" hidden="false" customHeight="false" outlineLevel="0" collapsed="false">
      <c r="A134" s="29" t="s">
        <v>286</v>
      </c>
      <c r="B134" s="30" t="s">
        <v>83</v>
      </c>
      <c r="C134" s="30" t="n">
        <v>800</v>
      </c>
      <c r="D134" s="30" t="n">
        <v>2</v>
      </c>
      <c r="E134" s="7"/>
      <c r="F134" s="27"/>
      <c r="G134" s="27"/>
      <c r="H134" s="7"/>
    </row>
    <row r="135" customFormat="false" ht="15" hidden="false" customHeight="false" outlineLevel="0" collapsed="false">
      <c r="A135" s="29" t="s">
        <v>287</v>
      </c>
      <c r="B135" s="30" t="s">
        <v>83</v>
      </c>
      <c r="C135" s="30" t="n">
        <v>800</v>
      </c>
      <c r="D135" s="30" t="n">
        <v>3</v>
      </c>
      <c r="E135" s="7"/>
      <c r="F135" s="27"/>
      <c r="G135" s="27"/>
      <c r="H135" s="7"/>
    </row>
    <row r="136" customFormat="false" ht="15" hidden="false" customHeight="false" outlineLevel="0" collapsed="false">
      <c r="A136" s="29" t="s">
        <v>288</v>
      </c>
      <c r="B136" s="30" t="s">
        <v>85</v>
      </c>
      <c r="C136" s="30" t="n">
        <v>800</v>
      </c>
      <c r="D136" s="30" t="n">
        <v>1</v>
      </c>
      <c r="E136" s="7"/>
      <c r="F136" s="27"/>
      <c r="G136" s="27"/>
      <c r="H136" s="7"/>
    </row>
    <row r="137" customFormat="false" ht="15" hidden="false" customHeight="false" outlineLevel="0" collapsed="false">
      <c r="A137" s="29" t="s">
        <v>289</v>
      </c>
      <c r="B137" s="30" t="s">
        <v>85</v>
      </c>
      <c r="C137" s="30" t="n">
        <v>800</v>
      </c>
      <c r="D137" s="30" t="n">
        <v>2</v>
      </c>
      <c r="E137" s="7"/>
      <c r="F137" s="27"/>
      <c r="G137" s="27"/>
      <c r="H137" s="7"/>
    </row>
    <row r="138" customFormat="false" ht="15" hidden="false" customHeight="false" outlineLevel="0" collapsed="false">
      <c r="A138" s="29" t="s">
        <v>290</v>
      </c>
      <c r="B138" s="30" t="s">
        <v>85</v>
      </c>
      <c r="C138" s="30" t="n">
        <v>800</v>
      </c>
      <c r="D138" s="30" t="n">
        <v>3</v>
      </c>
      <c r="E138" s="7"/>
      <c r="F138" s="27"/>
      <c r="G138" s="27"/>
      <c r="H138" s="7"/>
    </row>
    <row r="139" customFormat="false" ht="15" hidden="false" customHeight="false" outlineLevel="0" collapsed="false">
      <c r="A139" s="29" t="s">
        <v>291</v>
      </c>
      <c r="B139" s="30" t="s">
        <v>86</v>
      </c>
      <c r="C139" s="30" t="n">
        <v>800</v>
      </c>
      <c r="D139" s="30" t="n">
        <v>1</v>
      </c>
      <c r="E139" s="7"/>
      <c r="F139" s="27"/>
      <c r="G139" s="27"/>
      <c r="H139" s="7"/>
    </row>
    <row r="140" customFormat="false" ht="15" hidden="false" customHeight="false" outlineLevel="0" collapsed="false">
      <c r="A140" s="29" t="s">
        <v>292</v>
      </c>
      <c r="B140" s="30" t="s">
        <v>86</v>
      </c>
      <c r="C140" s="30" t="n">
        <v>800</v>
      </c>
      <c r="D140" s="30" t="n">
        <v>2</v>
      </c>
      <c r="E140" s="7"/>
      <c r="F140" s="27"/>
      <c r="G140" s="27"/>
      <c r="H140" s="7"/>
    </row>
    <row r="141" customFormat="false" ht="15" hidden="false" customHeight="false" outlineLevel="0" collapsed="false">
      <c r="A141" s="29" t="s">
        <v>293</v>
      </c>
      <c r="B141" s="30" t="s">
        <v>86</v>
      </c>
      <c r="C141" s="30" t="n">
        <v>800</v>
      </c>
      <c r="D141" s="30" t="n">
        <v>3</v>
      </c>
      <c r="E141" s="7"/>
      <c r="F141" s="27"/>
      <c r="G141" s="27"/>
      <c r="H141" s="7"/>
    </row>
    <row r="142" customFormat="false" ht="15" hidden="false" customHeight="false" outlineLevel="0" collapsed="false">
      <c r="A142" s="29" t="s">
        <v>294</v>
      </c>
      <c r="B142" s="30" t="s">
        <v>88</v>
      </c>
      <c r="C142" s="30" t="n">
        <v>800</v>
      </c>
      <c r="D142" s="30" t="n">
        <v>1</v>
      </c>
      <c r="E142" s="7"/>
      <c r="F142" s="27"/>
      <c r="G142" s="27"/>
      <c r="H142" s="7"/>
    </row>
    <row r="143" customFormat="false" ht="15" hidden="false" customHeight="false" outlineLevel="0" collapsed="false">
      <c r="A143" s="29" t="s">
        <v>295</v>
      </c>
      <c r="B143" s="30" t="s">
        <v>88</v>
      </c>
      <c r="C143" s="30" t="n">
        <v>800</v>
      </c>
      <c r="D143" s="30" t="n">
        <v>2</v>
      </c>
      <c r="E143" s="7"/>
      <c r="F143" s="27"/>
      <c r="G143" s="27"/>
      <c r="H143" s="7"/>
    </row>
    <row r="144" customFormat="false" ht="15" hidden="false" customHeight="false" outlineLevel="0" collapsed="false">
      <c r="A144" s="29" t="s">
        <v>296</v>
      </c>
      <c r="B144" s="30" t="s">
        <v>88</v>
      </c>
      <c r="C144" s="30" t="n">
        <v>800</v>
      </c>
      <c r="D144" s="30" t="n">
        <v>3</v>
      </c>
      <c r="E144" s="7"/>
      <c r="F144" s="27"/>
      <c r="G144" s="27"/>
      <c r="H144" s="7"/>
    </row>
    <row r="145" customFormat="false" ht="15" hidden="false" customHeight="false" outlineLevel="0" collapsed="false">
      <c r="A145" s="29" t="s">
        <v>297</v>
      </c>
      <c r="B145" s="30" t="s">
        <v>89</v>
      </c>
      <c r="C145" s="30" t="n">
        <v>800</v>
      </c>
      <c r="D145" s="30" t="n">
        <v>1</v>
      </c>
      <c r="E145" s="7"/>
      <c r="F145" s="27"/>
      <c r="G145" s="27"/>
      <c r="H145" s="7"/>
    </row>
    <row r="146" customFormat="false" ht="15" hidden="false" customHeight="false" outlineLevel="0" collapsed="false">
      <c r="A146" s="29" t="s">
        <v>298</v>
      </c>
      <c r="B146" s="30" t="s">
        <v>89</v>
      </c>
      <c r="C146" s="30" t="n">
        <v>800</v>
      </c>
      <c r="D146" s="30" t="n">
        <v>2</v>
      </c>
      <c r="E146" s="7"/>
      <c r="F146" s="27"/>
      <c r="G146" s="27"/>
      <c r="H146" s="7"/>
    </row>
    <row r="147" customFormat="false" ht="15" hidden="false" customHeight="false" outlineLevel="0" collapsed="false">
      <c r="A147" s="29" t="s">
        <v>299</v>
      </c>
      <c r="B147" s="30" t="s">
        <v>89</v>
      </c>
      <c r="C147" s="30" t="n">
        <v>800</v>
      </c>
      <c r="D147" s="30" t="n">
        <v>3</v>
      </c>
      <c r="E147" s="7"/>
      <c r="F147" s="27"/>
      <c r="G147" s="27"/>
      <c r="H147" s="7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F4:F147" type="list">
      <formula1>"None,Minor,Major"</formula1>
      <formula2>0</formula2>
    </dataValidation>
    <dataValidation allowBlank="true" errorStyle="stop" operator="between" showDropDown="false" showErrorMessage="false" showInputMessage="false" sqref="G4:G147" type="list">
      <formula1>"None,Partial,Severe"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6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8" t="s">
        <v>300</v>
      </c>
      <c r="B1" s="18"/>
      <c r="C1" s="18"/>
      <c r="D1" s="18"/>
      <c r="E1" s="18"/>
      <c r="F1" s="18"/>
    </row>
    <row r="2" customFormat="false" ht="36" hidden="false" customHeight="true" outlineLevel="0" collapsed="false">
      <c r="A2" s="2" t="s">
        <v>301</v>
      </c>
      <c r="B2" s="2" t="s">
        <v>302</v>
      </c>
      <c r="C2" s="2" t="s">
        <v>303</v>
      </c>
      <c r="D2" s="2" t="s">
        <v>304</v>
      </c>
      <c r="E2" s="2" t="s">
        <v>305</v>
      </c>
      <c r="F2" s="2" t="s">
        <v>306</v>
      </c>
    </row>
    <row r="3" customFormat="false" ht="49.5" hidden="false" customHeight="true" outlineLevel="0" collapsed="false">
      <c r="A3" s="21" t="s">
        <v>307</v>
      </c>
      <c r="B3" s="22" t="s">
        <v>308</v>
      </c>
      <c r="C3" s="22" t="n">
        <v>36</v>
      </c>
      <c r="D3" s="13" t="s">
        <v>309</v>
      </c>
      <c r="E3" s="27"/>
      <c r="F3" s="33" t="str">
        <f aca="false">COUNT('2 - Raw Data Entry'!J5:J40)&amp;" / 36"</f>
        <v>0 / 36</v>
      </c>
    </row>
    <row r="4" customFormat="false" ht="49.5" hidden="false" customHeight="true" outlineLevel="0" collapsed="false">
      <c r="A4" s="21" t="s">
        <v>307</v>
      </c>
      <c r="B4" s="22" t="s">
        <v>310</v>
      </c>
      <c r="C4" s="22" t="n">
        <v>36</v>
      </c>
      <c r="D4" s="13" t="s">
        <v>311</v>
      </c>
      <c r="E4" s="27"/>
      <c r="F4" s="33" t="str">
        <f aca="false">COUNT('2 - Raw Data Entry'!J41:J76)&amp;" / 36"</f>
        <v>0 / 36</v>
      </c>
    </row>
    <row r="5" customFormat="false" ht="49.5" hidden="false" customHeight="true" outlineLevel="0" collapsed="false">
      <c r="A5" s="21" t="s">
        <v>312</v>
      </c>
      <c r="B5" s="22" t="s">
        <v>313</v>
      </c>
      <c r="C5" s="22" t="n">
        <v>36</v>
      </c>
      <c r="D5" s="13" t="s">
        <v>314</v>
      </c>
      <c r="E5" s="27"/>
      <c r="F5" s="33" t="str">
        <f aca="false">COUNT('2 - Raw Data Entry'!J77:J112)&amp;" / 36"</f>
        <v>0 / 36</v>
      </c>
    </row>
    <row r="6" customFormat="false" ht="49.5" hidden="false" customHeight="true" outlineLevel="0" collapsed="false">
      <c r="A6" s="21" t="s">
        <v>315</v>
      </c>
      <c r="B6" s="22" t="s">
        <v>316</v>
      </c>
      <c r="C6" s="22" t="n">
        <v>36</v>
      </c>
      <c r="D6" s="13" t="s">
        <v>317</v>
      </c>
      <c r="E6" s="27"/>
      <c r="F6" s="33" t="str">
        <f aca="false">COUNT('2 - Raw Data Entry'!J113:J148)&amp;" / 36"</f>
        <v>0 / 36</v>
      </c>
    </row>
    <row r="8" customFormat="false" ht="15" hidden="false" customHeight="true" outlineLevel="0" collapsed="false">
      <c r="A8" s="6" t="s">
        <v>318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34" t="s">
        <v>319</v>
      </c>
      <c r="B9" s="7" t="s">
        <v>320</v>
      </c>
      <c r="C9" s="7"/>
      <c r="D9" s="7"/>
      <c r="E9" s="7"/>
      <c r="F9" s="7"/>
    </row>
    <row r="10" customFormat="false" ht="15" hidden="false" customHeight="true" outlineLevel="0" collapsed="false">
      <c r="A10" s="34" t="s">
        <v>319</v>
      </c>
      <c r="B10" s="7" t="s">
        <v>321</v>
      </c>
      <c r="C10" s="7"/>
      <c r="D10" s="7"/>
      <c r="E10" s="7"/>
      <c r="F10" s="7"/>
    </row>
    <row r="11" customFormat="false" ht="15" hidden="false" customHeight="true" outlineLevel="0" collapsed="false">
      <c r="A11" s="34" t="s">
        <v>319</v>
      </c>
      <c r="B11" s="7" t="s">
        <v>322</v>
      </c>
      <c r="C11" s="7"/>
      <c r="D11" s="7"/>
      <c r="E11" s="7"/>
      <c r="F11" s="7"/>
    </row>
    <row r="12" customFormat="false" ht="15" hidden="false" customHeight="true" outlineLevel="0" collapsed="false">
      <c r="A12" s="34" t="s">
        <v>319</v>
      </c>
      <c r="B12" s="7" t="s">
        <v>323</v>
      </c>
      <c r="C12" s="7"/>
      <c r="D12" s="7"/>
      <c r="E12" s="7"/>
      <c r="F12" s="7"/>
    </row>
    <row r="13" customFormat="false" ht="15" hidden="false" customHeight="true" outlineLevel="0" collapsed="false">
      <c r="A13" s="34" t="s">
        <v>319</v>
      </c>
      <c r="B13" s="7" t="s">
        <v>324</v>
      </c>
      <c r="C13" s="7"/>
      <c r="D13" s="7"/>
      <c r="E13" s="7"/>
      <c r="F13" s="7"/>
    </row>
    <row r="14" customFormat="false" ht="15" hidden="false" customHeight="true" outlineLevel="0" collapsed="false">
      <c r="A14" s="34" t="s">
        <v>319</v>
      </c>
      <c r="B14" s="7" t="s">
        <v>325</v>
      </c>
      <c r="C14" s="7"/>
      <c r="D14" s="7"/>
      <c r="E14" s="7"/>
      <c r="F14" s="7"/>
    </row>
    <row r="15" customFormat="false" ht="15" hidden="false" customHeight="true" outlineLevel="0" collapsed="false">
      <c r="A15" s="34" t="s">
        <v>319</v>
      </c>
      <c r="B15" s="7" t="s">
        <v>326</v>
      </c>
      <c r="C15" s="7"/>
      <c r="D15" s="7"/>
      <c r="E15" s="7"/>
      <c r="F15" s="7"/>
    </row>
    <row r="16" customFormat="false" ht="15" hidden="false" customHeight="true" outlineLevel="0" collapsed="false">
      <c r="A16" s="34" t="s">
        <v>319</v>
      </c>
      <c r="B16" s="7" t="s">
        <v>327</v>
      </c>
      <c r="C16" s="7"/>
      <c r="D16" s="7"/>
      <c r="E16" s="7"/>
      <c r="F16" s="7"/>
    </row>
    <row r="17" customFormat="false" ht="15" hidden="false" customHeight="true" outlineLevel="0" collapsed="false">
      <c r="A17" s="34" t="s">
        <v>319</v>
      </c>
      <c r="B17" s="7" t="s">
        <v>328</v>
      </c>
      <c r="C17" s="7"/>
      <c r="D17" s="7"/>
      <c r="E17" s="7"/>
      <c r="F17" s="7"/>
    </row>
    <row r="18" customFormat="false" ht="15" hidden="false" customHeight="true" outlineLevel="0" collapsed="false">
      <c r="A18" s="34" t="s">
        <v>319</v>
      </c>
      <c r="B18" s="7" t="s">
        <v>329</v>
      </c>
      <c r="C18" s="7"/>
      <c r="D18" s="7"/>
      <c r="E18" s="7"/>
      <c r="F18" s="7"/>
    </row>
    <row r="20" customFormat="false" ht="30" hidden="false" customHeight="true" outlineLevel="0" collapsed="false">
      <c r="A20" s="35" t="s">
        <v>330</v>
      </c>
      <c r="B20" s="35"/>
      <c r="C20" s="35"/>
      <c r="D20" s="35"/>
      <c r="E20" s="35"/>
      <c r="F20" s="35"/>
    </row>
  </sheetData>
  <mergeCells count="13">
    <mergeCell ref="A1:F1"/>
    <mergeCell ref="A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2"/>
  </cols>
  <sheetData>
    <row r="1" customFormat="false" ht="27.75" hidden="false" customHeight="true" outlineLevel="0" collapsed="false">
      <c r="A1" s="18" t="s">
        <v>331</v>
      </c>
      <c r="B1" s="18"/>
      <c r="C1" s="18"/>
      <c r="D1" s="18"/>
      <c r="E1" s="18"/>
      <c r="F1" s="18"/>
      <c r="G1" s="18"/>
      <c r="H1" s="18"/>
    </row>
    <row r="2" customFormat="false" ht="30" hidden="false" customHeight="true" outlineLevel="0" collapsed="false">
      <c r="A2" s="19" t="s">
        <v>332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36" t="s">
        <v>333</v>
      </c>
      <c r="B3" s="36"/>
      <c r="C3" s="36"/>
      <c r="D3" s="36"/>
      <c r="E3" s="36"/>
      <c r="F3" s="36"/>
    </row>
    <row r="4" customFormat="false" ht="15" hidden="false" customHeight="false" outlineLevel="0" collapsed="false">
      <c r="A4" s="2" t="s">
        <v>334</v>
      </c>
      <c r="B4" s="2" t="s">
        <v>308</v>
      </c>
      <c r="C4" s="2" t="s">
        <v>310</v>
      </c>
      <c r="D4" s="2" t="s">
        <v>313</v>
      </c>
      <c r="E4" s="2" t="s">
        <v>316</v>
      </c>
      <c r="F4" s="2" t="s">
        <v>335</v>
      </c>
    </row>
    <row r="5" customFormat="false" ht="15" hidden="false" customHeight="false" outlineLevel="0" collapsed="false">
      <c r="A5" s="29" t="s">
        <v>70</v>
      </c>
      <c r="B5" s="15" t="e">
        <f aca="false">IF(ISNUMBER('4 - Residual Strength Summary'!C4),'4 - Residual Strength Summary'!C4,NA())</f>
        <v>#N/A</v>
      </c>
      <c r="C5" s="15" t="e">
        <f aca="false">IF(ISNUMBER('4 - Residual Strength Summary'!D4),'4 - Residual Strength Summary'!D4,NA())</f>
        <v>#N/A</v>
      </c>
      <c r="D5" s="15" t="e">
        <f aca="false">IF(ISNUMBER('4 - Residual Strength Summary'!E4),'4 - Residual Strength Summary'!E4,NA())</f>
        <v>#N/A</v>
      </c>
      <c r="E5" s="15" t="e">
        <f aca="false">IF(ISNUMBER('4 - Residual Strength Summary'!F4),'4 - Residual Strength Summary'!F4,NA())</f>
        <v>#N/A</v>
      </c>
      <c r="F5" s="37" t="n">
        <f aca="false">'1 - Mix Reference'!B4</f>
        <v>0</v>
      </c>
    </row>
    <row r="6" customFormat="false" ht="15" hidden="false" customHeight="false" outlineLevel="0" collapsed="false">
      <c r="A6" s="29" t="s">
        <v>74</v>
      </c>
      <c r="B6" s="15" t="e">
        <f aca="false">IF(ISNUMBER('4 - Residual Strength Summary'!C5),'4 - Residual Strength Summary'!C5,NA())</f>
        <v>#N/A</v>
      </c>
      <c r="C6" s="15" t="e">
        <f aca="false">IF(ISNUMBER('4 - Residual Strength Summary'!D5),'4 - Residual Strength Summary'!D5,NA())</f>
        <v>#N/A</v>
      </c>
      <c r="D6" s="15" t="e">
        <f aca="false">IF(ISNUMBER('4 - Residual Strength Summary'!E5),'4 - Residual Strength Summary'!E5,NA())</f>
        <v>#N/A</v>
      </c>
      <c r="E6" s="15" t="e">
        <f aca="false">IF(ISNUMBER('4 - Residual Strength Summary'!F5),'4 - Residual Strength Summary'!F5,NA())</f>
        <v>#N/A</v>
      </c>
      <c r="F6" s="37" t="n">
        <f aca="false">'1 - Mix Reference'!B5</f>
        <v>5</v>
      </c>
    </row>
    <row r="7" customFormat="false" ht="15" hidden="false" customHeight="false" outlineLevel="0" collapsed="false">
      <c r="A7" s="29" t="s">
        <v>76</v>
      </c>
      <c r="B7" s="15" t="e">
        <f aca="false">IF(ISNUMBER('4 - Residual Strength Summary'!C6),'4 - Residual Strength Summary'!C6,NA())</f>
        <v>#N/A</v>
      </c>
      <c r="C7" s="15" t="e">
        <f aca="false">IF(ISNUMBER('4 - Residual Strength Summary'!D6),'4 - Residual Strength Summary'!D6,NA())</f>
        <v>#N/A</v>
      </c>
      <c r="D7" s="15" t="e">
        <f aca="false">IF(ISNUMBER('4 - Residual Strength Summary'!E6),'4 - Residual Strength Summary'!E6,NA())</f>
        <v>#N/A</v>
      </c>
      <c r="E7" s="15" t="e">
        <f aca="false">IF(ISNUMBER('4 - Residual Strength Summary'!F6),'4 - Residual Strength Summary'!F6,NA())</f>
        <v>#N/A</v>
      </c>
      <c r="F7" s="37" t="n">
        <f aca="false">'1 - Mix Reference'!B6</f>
        <v>10</v>
      </c>
    </row>
    <row r="8" customFormat="false" ht="15" hidden="false" customHeight="false" outlineLevel="0" collapsed="false">
      <c r="A8" s="29" t="s">
        <v>77</v>
      </c>
      <c r="B8" s="15" t="e">
        <f aca="false">IF(ISNUMBER('4 - Residual Strength Summary'!C7),'4 - Residual Strength Summary'!C7,NA())</f>
        <v>#N/A</v>
      </c>
      <c r="C8" s="15" t="e">
        <f aca="false">IF(ISNUMBER('4 - Residual Strength Summary'!D7),'4 - Residual Strength Summary'!D7,NA())</f>
        <v>#N/A</v>
      </c>
      <c r="D8" s="15" t="e">
        <f aca="false">IF(ISNUMBER('4 - Residual Strength Summary'!E7),'4 - Residual Strength Summary'!E7,NA())</f>
        <v>#N/A</v>
      </c>
      <c r="E8" s="15" t="e">
        <f aca="false">IF(ISNUMBER('4 - Residual Strength Summary'!F7),'4 - Residual Strength Summary'!F7,NA())</f>
        <v>#N/A</v>
      </c>
      <c r="F8" s="37" t="n">
        <f aca="false">'1 - Mix Reference'!B7</f>
        <v>15</v>
      </c>
    </row>
    <row r="9" customFormat="false" ht="15" hidden="false" customHeight="false" outlineLevel="0" collapsed="false">
      <c r="A9" s="29" t="s">
        <v>78</v>
      </c>
      <c r="B9" s="15" t="e">
        <f aca="false">IF(ISNUMBER('4 - Residual Strength Summary'!C8),'4 - Residual Strength Summary'!C8,NA())</f>
        <v>#N/A</v>
      </c>
      <c r="C9" s="15" t="e">
        <f aca="false">IF(ISNUMBER('4 - Residual Strength Summary'!D8),'4 - Residual Strength Summary'!D8,NA())</f>
        <v>#N/A</v>
      </c>
      <c r="D9" s="15" t="e">
        <f aca="false">IF(ISNUMBER('4 - Residual Strength Summary'!E8),'4 - Residual Strength Summary'!E8,NA())</f>
        <v>#N/A</v>
      </c>
      <c r="E9" s="15" t="e">
        <f aca="false">IF(ISNUMBER('4 - Residual Strength Summary'!F8),'4 - Residual Strength Summary'!F8,NA())</f>
        <v>#N/A</v>
      </c>
      <c r="F9" s="37" t="n">
        <f aca="false">'1 - Mix Reference'!B8</f>
        <v>20</v>
      </c>
    </row>
    <row r="10" customFormat="false" ht="15" hidden="false" customHeight="false" outlineLevel="0" collapsed="false">
      <c r="A10" s="29" t="s">
        <v>79</v>
      </c>
      <c r="B10" s="15" t="e">
        <f aca="false">IF(ISNUMBER('4 - Residual Strength Summary'!C9),'4 - Residual Strength Summary'!C9,NA())</f>
        <v>#N/A</v>
      </c>
      <c r="C10" s="15" t="e">
        <f aca="false">IF(ISNUMBER('4 - Residual Strength Summary'!D9),'4 - Residual Strength Summary'!D9,NA())</f>
        <v>#N/A</v>
      </c>
      <c r="D10" s="15" t="e">
        <f aca="false">IF(ISNUMBER('4 - Residual Strength Summary'!E9),'4 - Residual Strength Summary'!E9,NA())</f>
        <v>#N/A</v>
      </c>
      <c r="E10" s="15" t="e">
        <f aca="false">IF(ISNUMBER('4 - Residual Strength Summary'!F9),'4 - Residual Strength Summary'!F9,NA())</f>
        <v>#N/A</v>
      </c>
      <c r="F10" s="37" t="n">
        <f aca="false">'1 - Mix Reference'!B9</f>
        <v>25</v>
      </c>
    </row>
    <row r="11" customFormat="false" ht="15" hidden="false" customHeight="false" outlineLevel="0" collapsed="false">
      <c r="A11" s="29" t="s">
        <v>81</v>
      </c>
      <c r="B11" s="15" t="e">
        <f aca="false">IF(ISNUMBER('4 - Residual Strength Summary'!C10),'4 - Residual Strength Summary'!C10,NA())</f>
        <v>#N/A</v>
      </c>
      <c r="C11" s="15" t="e">
        <f aca="false">IF(ISNUMBER('4 - Residual Strength Summary'!D10),'4 - Residual Strength Summary'!D10,NA())</f>
        <v>#N/A</v>
      </c>
      <c r="D11" s="15" t="e">
        <f aca="false">IF(ISNUMBER('4 - Residual Strength Summary'!E10),'4 - Residual Strength Summary'!E10,NA())</f>
        <v>#N/A</v>
      </c>
      <c r="E11" s="15" t="e">
        <f aca="false">IF(ISNUMBER('4 - Residual Strength Summary'!F10),'4 - Residual Strength Summary'!F10,NA())</f>
        <v>#N/A</v>
      </c>
      <c r="F11" s="37" t="n">
        <f aca="false">'1 - Mix Reference'!B10</f>
        <v>0</v>
      </c>
    </row>
    <row r="12" customFormat="false" ht="15" hidden="false" customHeight="false" outlineLevel="0" collapsed="false">
      <c r="A12" s="29" t="s">
        <v>83</v>
      </c>
      <c r="B12" s="15" t="e">
        <f aca="false">IF(ISNUMBER('4 - Residual Strength Summary'!C11),'4 - Residual Strength Summary'!C11,NA())</f>
        <v>#N/A</v>
      </c>
      <c r="C12" s="15" t="e">
        <f aca="false">IF(ISNUMBER('4 - Residual Strength Summary'!D11),'4 - Residual Strength Summary'!D11,NA())</f>
        <v>#N/A</v>
      </c>
      <c r="D12" s="15" t="e">
        <f aca="false">IF(ISNUMBER('4 - Residual Strength Summary'!E11),'4 - Residual Strength Summary'!E11,NA())</f>
        <v>#N/A</v>
      </c>
      <c r="E12" s="15" t="e">
        <f aca="false">IF(ISNUMBER('4 - Residual Strength Summary'!F11),'4 - Residual Strength Summary'!F11,NA())</f>
        <v>#N/A</v>
      </c>
      <c r="F12" s="37" t="n">
        <f aca="false">'1 - Mix Reference'!B11</f>
        <v>5</v>
      </c>
    </row>
    <row r="13" customFormat="false" ht="15" hidden="false" customHeight="false" outlineLevel="0" collapsed="false">
      <c r="A13" s="29" t="s">
        <v>85</v>
      </c>
      <c r="B13" s="15" t="e">
        <f aca="false">IF(ISNUMBER('4 - Residual Strength Summary'!C12),'4 - Residual Strength Summary'!C12,NA())</f>
        <v>#N/A</v>
      </c>
      <c r="C13" s="15" t="e">
        <f aca="false">IF(ISNUMBER('4 - Residual Strength Summary'!D12),'4 - Residual Strength Summary'!D12,NA())</f>
        <v>#N/A</v>
      </c>
      <c r="D13" s="15" t="e">
        <f aca="false">IF(ISNUMBER('4 - Residual Strength Summary'!E12),'4 - Residual Strength Summary'!E12,NA())</f>
        <v>#N/A</v>
      </c>
      <c r="E13" s="15" t="e">
        <f aca="false">IF(ISNUMBER('4 - Residual Strength Summary'!F12),'4 - Residual Strength Summary'!F12,NA())</f>
        <v>#N/A</v>
      </c>
      <c r="F13" s="37" t="n">
        <f aca="false">'1 - Mix Reference'!B12</f>
        <v>10</v>
      </c>
    </row>
    <row r="14" customFormat="false" ht="15" hidden="false" customHeight="false" outlineLevel="0" collapsed="false">
      <c r="A14" s="29" t="s">
        <v>86</v>
      </c>
      <c r="B14" s="15" t="e">
        <f aca="false">IF(ISNUMBER('4 - Residual Strength Summary'!C13),'4 - Residual Strength Summary'!C13,NA())</f>
        <v>#N/A</v>
      </c>
      <c r="C14" s="15" t="e">
        <f aca="false">IF(ISNUMBER('4 - Residual Strength Summary'!D13),'4 - Residual Strength Summary'!D13,NA())</f>
        <v>#N/A</v>
      </c>
      <c r="D14" s="15" t="e">
        <f aca="false">IF(ISNUMBER('4 - Residual Strength Summary'!E13),'4 - Residual Strength Summary'!E13,NA())</f>
        <v>#N/A</v>
      </c>
      <c r="E14" s="15" t="e">
        <f aca="false">IF(ISNUMBER('4 - Residual Strength Summary'!F13),'4 - Residual Strength Summary'!F13,NA())</f>
        <v>#N/A</v>
      </c>
      <c r="F14" s="37" t="n">
        <f aca="false">'1 - Mix Reference'!B13</f>
        <v>15</v>
      </c>
    </row>
    <row r="15" customFormat="false" ht="15" hidden="false" customHeight="false" outlineLevel="0" collapsed="false">
      <c r="A15" s="29" t="s">
        <v>88</v>
      </c>
      <c r="B15" s="15" t="e">
        <f aca="false">IF(ISNUMBER('4 - Residual Strength Summary'!C14),'4 - Residual Strength Summary'!C14,NA())</f>
        <v>#N/A</v>
      </c>
      <c r="C15" s="15" t="e">
        <f aca="false">IF(ISNUMBER('4 - Residual Strength Summary'!D14),'4 - Residual Strength Summary'!D14,NA())</f>
        <v>#N/A</v>
      </c>
      <c r="D15" s="15" t="e">
        <f aca="false">IF(ISNUMBER('4 - Residual Strength Summary'!E14),'4 - Residual Strength Summary'!E14,NA())</f>
        <v>#N/A</v>
      </c>
      <c r="E15" s="15" t="e">
        <f aca="false">IF(ISNUMBER('4 - Residual Strength Summary'!F14),'4 - Residual Strength Summary'!F14,NA())</f>
        <v>#N/A</v>
      </c>
      <c r="F15" s="37" t="n">
        <f aca="false">'1 - Mix Reference'!B14</f>
        <v>20</v>
      </c>
    </row>
    <row r="16" customFormat="false" ht="15" hidden="false" customHeight="false" outlineLevel="0" collapsed="false">
      <c r="A16" s="29" t="s">
        <v>89</v>
      </c>
      <c r="B16" s="15" t="e">
        <f aca="false">IF(ISNUMBER('4 - Residual Strength Summary'!C15),'4 - Residual Strength Summary'!C15,NA())</f>
        <v>#N/A</v>
      </c>
      <c r="C16" s="15" t="e">
        <f aca="false">IF(ISNUMBER('4 - Residual Strength Summary'!D15),'4 - Residual Strength Summary'!D15,NA())</f>
        <v>#N/A</v>
      </c>
      <c r="D16" s="15" t="e">
        <f aca="false">IF(ISNUMBER('4 - Residual Strength Summary'!E15),'4 - Residual Strength Summary'!E15,NA())</f>
        <v>#N/A</v>
      </c>
      <c r="E16" s="15" t="e">
        <f aca="false">IF(ISNUMBER('4 - Residual Strength Summary'!F15),'4 - Residual Strength Summary'!F15,NA())</f>
        <v>#N/A</v>
      </c>
      <c r="F16" s="37" t="n">
        <f aca="false">'1 - Mix Reference'!B15</f>
        <v>25</v>
      </c>
    </row>
    <row r="19" customFormat="false" ht="15" hidden="false" customHeight="true" outlineLevel="0" collapsed="false">
      <c r="A19" s="36" t="s">
        <v>336</v>
      </c>
      <c r="B19" s="36"/>
      <c r="C19" s="36"/>
      <c r="D19" s="36"/>
      <c r="E19" s="36"/>
      <c r="F19" s="36"/>
    </row>
    <row r="20" customFormat="false" ht="15" hidden="false" customHeight="false" outlineLevel="0" collapsed="false">
      <c r="A20" s="2" t="s">
        <v>334</v>
      </c>
      <c r="B20" s="2" t="s">
        <v>308</v>
      </c>
      <c r="C20" s="2" t="s">
        <v>310</v>
      </c>
      <c r="D20" s="2" t="s">
        <v>313</v>
      </c>
      <c r="E20" s="2" t="s">
        <v>316</v>
      </c>
      <c r="F20" s="2" t="s">
        <v>335</v>
      </c>
    </row>
    <row r="21" customFormat="false" ht="15" hidden="false" customHeight="false" outlineLevel="0" collapsed="false">
      <c r="A21" s="29" t="s">
        <v>70</v>
      </c>
      <c r="B21" s="15" t="e">
        <f aca="false">IF(ISNUMBER('5 - Mass Loss Summary'!C4),'5 - Mass Loss Summary'!C4,NA())</f>
        <v>#N/A</v>
      </c>
      <c r="C21" s="15" t="e">
        <f aca="false">IF(ISNUMBER('5 - Mass Loss Summary'!D4),'5 - Mass Loss Summary'!D4,NA())</f>
        <v>#N/A</v>
      </c>
      <c r="D21" s="15" t="e">
        <f aca="false">IF(ISNUMBER('5 - Mass Loss Summary'!E4),'5 - Mass Loss Summary'!E4,NA())</f>
        <v>#N/A</v>
      </c>
      <c r="E21" s="15" t="e">
        <f aca="false">IF(ISNUMBER('5 - Mass Loss Summary'!F4),'5 - Mass Loss Summary'!F4,NA())</f>
        <v>#N/A</v>
      </c>
      <c r="F21" s="37" t="n">
        <f aca="false">'1 - Mix Reference'!B4</f>
        <v>0</v>
      </c>
    </row>
    <row r="22" customFormat="false" ht="15" hidden="false" customHeight="false" outlineLevel="0" collapsed="false">
      <c r="A22" s="29" t="s">
        <v>74</v>
      </c>
      <c r="B22" s="15" t="e">
        <f aca="false">IF(ISNUMBER('5 - Mass Loss Summary'!C5),'5 - Mass Loss Summary'!C5,NA())</f>
        <v>#N/A</v>
      </c>
      <c r="C22" s="15" t="e">
        <f aca="false">IF(ISNUMBER('5 - Mass Loss Summary'!D5),'5 - Mass Loss Summary'!D5,NA())</f>
        <v>#N/A</v>
      </c>
      <c r="D22" s="15" t="e">
        <f aca="false">IF(ISNUMBER('5 - Mass Loss Summary'!E5),'5 - Mass Loss Summary'!E5,NA())</f>
        <v>#N/A</v>
      </c>
      <c r="E22" s="15" t="e">
        <f aca="false">IF(ISNUMBER('5 - Mass Loss Summary'!F5),'5 - Mass Loss Summary'!F5,NA())</f>
        <v>#N/A</v>
      </c>
      <c r="F22" s="37" t="n">
        <f aca="false">'1 - Mix Reference'!B5</f>
        <v>5</v>
      </c>
    </row>
    <row r="23" customFormat="false" ht="15" hidden="false" customHeight="false" outlineLevel="0" collapsed="false">
      <c r="A23" s="29" t="s">
        <v>76</v>
      </c>
      <c r="B23" s="15" t="e">
        <f aca="false">IF(ISNUMBER('5 - Mass Loss Summary'!C6),'5 - Mass Loss Summary'!C6,NA())</f>
        <v>#N/A</v>
      </c>
      <c r="C23" s="15" t="e">
        <f aca="false">IF(ISNUMBER('5 - Mass Loss Summary'!D6),'5 - Mass Loss Summary'!D6,NA())</f>
        <v>#N/A</v>
      </c>
      <c r="D23" s="15" t="e">
        <f aca="false">IF(ISNUMBER('5 - Mass Loss Summary'!E6),'5 - Mass Loss Summary'!E6,NA())</f>
        <v>#N/A</v>
      </c>
      <c r="E23" s="15" t="e">
        <f aca="false">IF(ISNUMBER('5 - Mass Loss Summary'!F6),'5 - Mass Loss Summary'!F6,NA())</f>
        <v>#N/A</v>
      </c>
      <c r="F23" s="37" t="n">
        <f aca="false">'1 - Mix Reference'!B6</f>
        <v>10</v>
      </c>
    </row>
    <row r="24" customFormat="false" ht="15" hidden="false" customHeight="false" outlineLevel="0" collapsed="false">
      <c r="A24" s="29" t="s">
        <v>77</v>
      </c>
      <c r="B24" s="15" t="e">
        <f aca="false">IF(ISNUMBER('5 - Mass Loss Summary'!C7),'5 - Mass Loss Summary'!C7,NA())</f>
        <v>#N/A</v>
      </c>
      <c r="C24" s="15" t="e">
        <f aca="false">IF(ISNUMBER('5 - Mass Loss Summary'!D7),'5 - Mass Loss Summary'!D7,NA())</f>
        <v>#N/A</v>
      </c>
      <c r="D24" s="15" t="e">
        <f aca="false">IF(ISNUMBER('5 - Mass Loss Summary'!E7),'5 - Mass Loss Summary'!E7,NA())</f>
        <v>#N/A</v>
      </c>
      <c r="E24" s="15" t="e">
        <f aca="false">IF(ISNUMBER('5 - Mass Loss Summary'!F7),'5 - Mass Loss Summary'!F7,NA())</f>
        <v>#N/A</v>
      </c>
      <c r="F24" s="37" t="n">
        <f aca="false">'1 - Mix Reference'!B7</f>
        <v>15</v>
      </c>
    </row>
    <row r="25" customFormat="false" ht="15" hidden="false" customHeight="false" outlineLevel="0" collapsed="false">
      <c r="A25" s="29" t="s">
        <v>78</v>
      </c>
      <c r="B25" s="15" t="e">
        <f aca="false">IF(ISNUMBER('5 - Mass Loss Summary'!C8),'5 - Mass Loss Summary'!C8,NA())</f>
        <v>#N/A</v>
      </c>
      <c r="C25" s="15" t="e">
        <f aca="false">IF(ISNUMBER('5 - Mass Loss Summary'!D8),'5 - Mass Loss Summary'!D8,NA())</f>
        <v>#N/A</v>
      </c>
      <c r="D25" s="15" t="e">
        <f aca="false">IF(ISNUMBER('5 - Mass Loss Summary'!E8),'5 - Mass Loss Summary'!E8,NA())</f>
        <v>#N/A</v>
      </c>
      <c r="E25" s="15" t="e">
        <f aca="false">IF(ISNUMBER('5 - Mass Loss Summary'!F8),'5 - Mass Loss Summary'!F8,NA())</f>
        <v>#N/A</v>
      </c>
      <c r="F25" s="37" t="n">
        <f aca="false">'1 - Mix Reference'!B8</f>
        <v>20</v>
      </c>
    </row>
    <row r="26" customFormat="false" ht="15" hidden="false" customHeight="false" outlineLevel="0" collapsed="false">
      <c r="A26" s="29" t="s">
        <v>79</v>
      </c>
      <c r="B26" s="15" t="e">
        <f aca="false">IF(ISNUMBER('5 - Mass Loss Summary'!C9),'5 - Mass Loss Summary'!C9,NA())</f>
        <v>#N/A</v>
      </c>
      <c r="C26" s="15" t="e">
        <f aca="false">IF(ISNUMBER('5 - Mass Loss Summary'!D9),'5 - Mass Loss Summary'!D9,NA())</f>
        <v>#N/A</v>
      </c>
      <c r="D26" s="15" t="e">
        <f aca="false">IF(ISNUMBER('5 - Mass Loss Summary'!E9),'5 - Mass Loss Summary'!E9,NA())</f>
        <v>#N/A</v>
      </c>
      <c r="E26" s="15" t="e">
        <f aca="false">IF(ISNUMBER('5 - Mass Loss Summary'!F9),'5 - Mass Loss Summary'!F9,NA())</f>
        <v>#N/A</v>
      </c>
      <c r="F26" s="37" t="n">
        <f aca="false">'1 - Mix Reference'!B9</f>
        <v>25</v>
      </c>
    </row>
    <row r="27" customFormat="false" ht="15" hidden="false" customHeight="false" outlineLevel="0" collapsed="false">
      <c r="A27" s="29" t="s">
        <v>81</v>
      </c>
      <c r="B27" s="15" t="e">
        <f aca="false">IF(ISNUMBER('5 - Mass Loss Summary'!C10),'5 - Mass Loss Summary'!C10,NA())</f>
        <v>#N/A</v>
      </c>
      <c r="C27" s="15" t="e">
        <f aca="false">IF(ISNUMBER('5 - Mass Loss Summary'!D10),'5 - Mass Loss Summary'!D10,NA())</f>
        <v>#N/A</v>
      </c>
      <c r="D27" s="15" t="e">
        <f aca="false">IF(ISNUMBER('5 - Mass Loss Summary'!E10),'5 - Mass Loss Summary'!E10,NA())</f>
        <v>#N/A</v>
      </c>
      <c r="E27" s="15" t="e">
        <f aca="false">IF(ISNUMBER('5 - Mass Loss Summary'!F10),'5 - Mass Loss Summary'!F10,NA())</f>
        <v>#N/A</v>
      </c>
      <c r="F27" s="37" t="n">
        <f aca="false">'1 - Mix Reference'!B10</f>
        <v>0</v>
      </c>
    </row>
    <row r="28" customFormat="false" ht="15" hidden="false" customHeight="false" outlineLevel="0" collapsed="false">
      <c r="A28" s="29" t="s">
        <v>83</v>
      </c>
      <c r="B28" s="15" t="e">
        <f aca="false">IF(ISNUMBER('5 - Mass Loss Summary'!C11),'5 - Mass Loss Summary'!C11,NA())</f>
        <v>#N/A</v>
      </c>
      <c r="C28" s="15" t="e">
        <f aca="false">IF(ISNUMBER('5 - Mass Loss Summary'!D11),'5 - Mass Loss Summary'!D11,NA())</f>
        <v>#N/A</v>
      </c>
      <c r="D28" s="15" t="e">
        <f aca="false">IF(ISNUMBER('5 - Mass Loss Summary'!E11),'5 - Mass Loss Summary'!E11,NA())</f>
        <v>#N/A</v>
      </c>
      <c r="E28" s="15" t="e">
        <f aca="false">IF(ISNUMBER('5 - Mass Loss Summary'!F11),'5 - Mass Loss Summary'!F11,NA())</f>
        <v>#N/A</v>
      </c>
      <c r="F28" s="37" t="n">
        <f aca="false">'1 - Mix Reference'!B11</f>
        <v>5</v>
      </c>
    </row>
    <row r="29" customFormat="false" ht="15" hidden="false" customHeight="false" outlineLevel="0" collapsed="false">
      <c r="A29" s="29" t="s">
        <v>85</v>
      </c>
      <c r="B29" s="15" t="e">
        <f aca="false">IF(ISNUMBER('5 - Mass Loss Summary'!C12),'5 - Mass Loss Summary'!C12,NA())</f>
        <v>#N/A</v>
      </c>
      <c r="C29" s="15" t="e">
        <f aca="false">IF(ISNUMBER('5 - Mass Loss Summary'!D12),'5 - Mass Loss Summary'!D12,NA())</f>
        <v>#N/A</v>
      </c>
      <c r="D29" s="15" t="e">
        <f aca="false">IF(ISNUMBER('5 - Mass Loss Summary'!E12),'5 - Mass Loss Summary'!E12,NA())</f>
        <v>#N/A</v>
      </c>
      <c r="E29" s="15" t="e">
        <f aca="false">IF(ISNUMBER('5 - Mass Loss Summary'!F12),'5 - Mass Loss Summary'!F12,NA())</f>
        <v>#N/A</v>
      </c>
      <c r="F29" s="37" t="n">
        <f aca="false">'1 - Mix Reference'!B12</f>
        <v>10</v>
      </c>
    </row>
    <row r="30" customFormat="false" ht="15" hidden="false" customHeight="false" outlineLevel="0" collapsed="false">
      <c r="A30" s="29" t="s">
        <v>86</v>
      </c>
      <c r="B30" s="15" t="e">
        <f aca="false">IF(ISNUMBER('5 - Mass Loss Summary'!C13),'5 - Mass Loss Summary'!C13,NA())</f>
        <v>#N/A</v>
      </c>
      <c r="C30" s="15" t="e">
        <f aca="false">IF(ISNUMBER('5 - Mass Loss Summary'!D13),'5 - Mass Loss Summary'!D13,NA())</f>
        <v>#N/A</v>
      </c>
      <c r="D30" s="15" t="e">
        <f aca="false">IF(ISNUMBER('5 - Mass Loss Summary'!E13),'5 - Mass Loss Summary'!E13,NA())</f>
        <v>#N/A</v>
      </c>
      <c r="E30" s="15" t="e">
        <f aca="false">IF(ISNUMBER('5 - Mass Loss Summary'!F13),'5 - Mass Loss Summary'!F13,NA())</f>
        <v>#N/A</v>
      </c>
      <c r="F30" s="37" t="n">
        <f aca="false">'1 - Mix Reference'!B13</f>
        <v>15</v>
      </c>
    </row>
    <row r="31" customFormat="false" ht="15" hidden="false" customHeight="false" outlineLevel="0" collapsed="false">
      <c r="A31" s="29" t="s">
        <v>88</v>
      </c>
      <c r="B31" s="15" t="e">
        <f aca="false">IF(ISNUMBER('5 - Mass Loss Summary'!C14),'5 - Mass Loss Summary'!C14,NA())</f>
        <v>#N/A</v>
      </c>
      <c r="C31" s="15" t="e">
        <f aca="false">IF(ISNUMBER('5 - Mass Loss Summary'!D14),'5 - Mass Loss Summary'!D14,NA())</f>
        <v>#N/A</v>
      </c>
      <c r="D31" s="15" t="e">
        <f aca="false">IF(ISNUMBER('5 - Mass Loss Summary'!E14),'5 - Mass Loss Summary'!E14,NA())</f>
        <v>#N/A</v>
      </c>
      <c r="E31" s="15" t="e">
        <f aca="false">IF(ISNUMBER('5 - Mass Loss Summary'!F14),'5 - Mass Loss Summary'!F14,NA())</f>
        <v>#N/A</v>
      </c>
      <c r="F31" s="37" t="n">
        <f aca="false">'1 - Mix Reference'!B14</f>
        <v>20</v>
      </c>
    </row>
    <row r="32" customFormat="false" ht="15" hidden="false" customHeight="false" outlineLevel="0" collapsed="false">
      <c r="A32" s="29" t="s">
        <v>89</v>
      </c>
      <c r="B32" s="15" t="e">
        <f aca="false">IF(ISNUMBER('5 - Mass Loss Summary'!C15),'5 - Mass Loss Summary'!C15,NA())</f>
        <v>#N/A</v>
      </c>
      <c r="C32" s="15" t="e">
        <f aca="false">IF(ISNUMBER('5 - Mass Loss Summary'!D15),'5 - Mass Loss Summary'!D15,NA())</f>
        <v>#N/A</v>
      </c>
      <c r="D32" s="15" t="e">
        <f aca="false">IF(ISNUMBER('5 - Mass Loss Summary'!E15),'5 - Mass Loss Summary'!E15,NA())</f>
        <v>#N/A</v>
      </c>
      <c r="E32" s="15" t="e">
        <f aca="false">IF(ISNUMBER('5 - Mass Loss Summary'!F15),'5 - Mass Loss Summary'!F15,NA())</f>
        <v>#N/A</v>
      </c>
      <c r="F32" s="37" t="n">
        <f aca="false">'1 - Mix Reference'!B15</f>
        <v>25</v>
      </c>
    </row>
    <row r="35" customFormat="false" ht="15" hidden="false" customHeight="true" outlineLevel="0" collapsed="false">
      <c r="A35" s="36" t="s">
        <v>337</v>
      </c>
      <c r="B35" s="36"/>
      <c r="C35" s="36"/>
      <c r="D35" s="36"/>
      <c r="E35" s="36"/>
      <c r="F35" s="36"/>
    </row>
    <row r="36" customFormat="false" ht="15" hidden="false" customHeight="false" outlineLevel="0" collapsed="false">
      <c r="A36" s="2" t="s">
        <v>334</v>
      </c>
      <c r="B36" s="2" t="s">
        <v>308</v>
      </c>
      <c r="C36" s="2" t="s">
        <v>310</v>
      </c>
      <c r="D36" s="2" t="s">
        <v>313</v>
      </c>
      <c r="E36" s="2" t="s">
        <v>316</v>
      </c>
      <c r="F36" s="2" t="s">
        <v>335</v>
      </c>
    </row>
    <row r="37" customFormat="false" ht="15" hidden="false" customHeight="false" outlineLevel="0" collapsed="false">
      <c r="A37" s="29" t="s">
        <v>70</v>
      </c>
      <c r="B37" s="15" t="e">
        <f aca="false">IF(COUNT('2 - Raw Data Entry'!N5:N7)&lt;3,NA(),AVERAGE('2 - Raw Data Entry'!N5:N7))</f>
        <v>#N/A</v>
      </c>
      <c r="C37" s="15" t="e">
        <f aca="false">IF(COUNT('2 - Raw Data Entry'!N41:N43)&lt;3,NA(),AVERAGE('2 - Raw Data Entry'!N41:N43))</f>
        <v>#N/A</v>
      </c>
      <c r="D37" s="15" t="e">
        <f aca="false">IF(COUNT('2 - Raw Data Entry'!N77:N79)&lt;3,NA(),AVERAGE('2 - Raw Data Entry'!N77:N79))</f>
        <v>#N/A</v>
      </c>
      <c r="E37" s="15" t="e">
        <f aca="false">IF(COUNT('2 - Raw Data Entry'!N113:N115)&lt;3,NA(),AVERAGE('2 - Raw Data Entry'!N113:N115))</f>
        <v>#N/A</v>
      </c>
      <c r="F37" s="37" t="n">
        <f aca="false">'1 - Mix Reference'!B4</f>
        <v>0</v>
      </c>
    </row>
    <row r="38" customFormat="false" ht="15" hidden="false" customHeight="false" outlineLevel="0" collapsed="false">
      <c r="A38" s="29" t="s">
        <v>74</v>
      </c>
      <c r="B38" s="15" t="e">
        <f aca="false">IF(COUNT('2 - Raw Data Entry'!N8:N10)&lt;3,NA(),AVERAGE('2 - Raw Data Entry'!N8:N10))</f>
        <v>#N/A</v>
      </c>
      <c r="C38" s="15" t="e">
        <f aca="false">IF(COUNT('2 - Raw Data Entry'!N44:N46)&lt;3,NA(),AVERAGE('2 - Raw Data Entry'!N44:N46))</f>
        <v>#N/A</v>
      </c>
      <c r="D38" s="15" t="e">
        <f aca="false">IF(COUNT('2 - Raw Data Entry'!N80:N82)&lt;3,NA(),AVERAGE('2 - Raw Data Entry'!N80:N82))</f>
        <v>#N/A</v>
      </c>
      <c r="E38" s="15" t="e">
        <f aca="false">IF(COUNT('2 - Raw Data Entry'!N116:N118)&lt;3,NA(),AVERAGE('2 - Raw Data Entry'!N116:N118))</f>
        <v>#N/A</v>
      </c>
      <c r="F38" s="37" t="n">
        <f aca="false">'1 - Mix Reference'!B5</f>
        <v>5</v>
      </c>
    </row>
    <row r="39" customFormat="false" ht="15" hidden="false" customHeight="false" outlineLevel="0" collapsed="false">
      <c r="A39" s="29" t="s">
        <v>76</v>
      </c>
      <c r="B39" s="15" t="e">
        <f aca="false">IF(COUNT('2 - Raw Data Entry'!N11:N13)&lt;3,NA(),AVERAGE('2 - Raw Data Entry'!N11:N13))</f>
        <v>#N/A</v>
      </c>
      <c r="C39" s="15" t="e">
        <f aca="false">IF(COUNT('2 - Raw Data Entry'!N47:N49)&lt;3,NA(),AVERAGE('2 - Raw Data Entry'!N47:N49))</f>
        <v>#N/A</v>
      </c>
      <c r="D39" s="15" t="e">
        <f aca="false">IF(COUNT('2 - Raw Data Entry'!N83:N85)&lt;3,NA(),AVERAGE('2 - Raw Data Entry'!N83:N85))</f>
        <v>#N/A</v>
      </c>
      <c r="E39" s="15" t="e">
        <f aca="false">IF(COUNT('2 - Raw Data Entry'!N119:N121)&lt;3,NA(),AVERAGE('2 - Raw Data Entry'!N119:N121))</f>
        <v>#N/A</v>
      </c>
      <c r="F39" s="37" t="n">
        <f aca="false">'1 - Mix Reference'!B6</f>
        <v>10</v>
      </c>
    </row>
    <row r="40" customFormat="false" ht="15" hidden="false" customHeight="false" outlineLevel="0" collapsed="false">
      <c r="A40" s="29" t="s">
        <v>77</v>
      </c>
      <c r="B40" s="15" t="e">
        <f aca="false">IF(COUNT('2 - Raw Data Entry'!N14:N16)&lt;3,NA(),AVERAGE('2 - Raw Data Entry'!N14:N16))</f>
        <v>#N/A</v>
      </c>
      <c r="C40" s="15" t="e">
        <f aca="false">IF(COUNT('2 - Raw Data Entry'!N50:N52)&lt;3,NA(),AVERAGE('2 - Raw Data Entry'!N50:N52))</f>
        <v>#N/A</v>
      </c>
      <c r="D40" s="15" t="e">
        <f aca="false">IF(COUNT('2 - Raw Data Entry'!N86:N88)&lt;3,NA(),AVERAGE('2 - Raw Data Entry'!N86:N88))</f>
        <v>#N/A</v>
      </c>
      <c r="E40" s="15" t="e">
        <f aca="false">IF(COUNT('2 - Raw Data Entry'!N122:N124)&lt;3,NA(),AVERAGE('2 - Raw Data Entry'!N122:N124))</f>
        <v>#N/A</v>
      </c>
      <c r="F40" s="37" t="n">
        <f aca="false">'1 - Mix Reference'!B7</f>
        <v>15</v>
      </c>
    </row>
    <row r="41" customFormat="false" ht="15" hidden="false" customHeight="false" outlineLevel="0" collapsed="false">
      <c r="A41" s="29" t="s">
        <v>78</v>
      </c>
      <c r="B41" s="15" t="e">
        <f aca="false">IF(COUNT('2 - Raw Data Entry'!N17:N19)&lt;3,NA(),AVERAGE('2 - Raw Data Entry'!N17:N19))</f>
        <v>#N/A</v>
      </c>
      <c r="C41" s="15" t="e">
        <f aca="false">IF(COUNT('2 - Raw Data Entry'!N53:N55)&lt;3,NA(),AVERAGE('2 - Raw Data Entry'!N53:N55))</f>
        <v>#N/A</v>
      </c>
      <c r="D41" s="15" t="e">
        <f aca="false">IF(COUNT('2 - Raw Data Entry'!N89:N91)&lt;3,NA(),AVERAGE('2 - Raw Data Entry'!N89:N91))</f>
        <v>#N/A</v>
      </c>
      <c r="E41" s="15" t="e">
        <f aca="false">IF(COUNT('2 - Raw Data Entry'!N125:N127)&lt;3,NA(),AVERAGE('2 - Raw Data Entry'!N125:N127))</f>
        <v>#N/A</v>
      </c>
      <c r="F41" s="37" t="n">
        <f aca="false">'1 - Mix Reference'!B8</f>
        <v>20</v>
      </c>
    </row>
    <row r="42" customFormat="false" ht="15" hidden="false" customHeight="false" outlineLevel="0" collapsed="false">
      <c r="A42" s="29" t="s">
        <v>79</v>
      </c>
      <c r="B42" s="15" t="e">
        <f aca="false">IF(COUNT('2 - Raw Data Entry'!N20:N22)&lt;3,NA(),AVERAGE('2 - Raw Data Entry'!N20:N22))</f>
        <v>#N/A</v>
      </c>
      <c r="C42" s="15" t="e">
        <f aca="false">IF(COUNT('2 - Raw Data Entry'!N56:N58)&lt;3,NA(),AVERAGE('2 - Raw Data Entry'!N56:N58))</f>
        <v>#N/A</v>
      </c>
      <c r="D42" s="15" t="e">
        <f aca="false">IF(COUNT('2 - Raw Data Entry'!N92:N94)&lt;3,NA(),AVERAGE('2 - Raw Data Entry'!N92:N94))</f>
        <v>#N/A</v>
      </c>
      <c r="E42" s="15" t="e">
        <f aca="false">IF(COUNT('2 - Raw Data Entry'!N128:N130)&lt;3,NA(),AVERAGE('2 - Raw Data Entry'!N128:N130))</f>
        <v>#N/A</v>
      </c>
      <c r="F42" s="37" t="n">
        <f aca="false">'1 - Mix Reference'!B9</f>
        <v>25</v>
      </c>
    </row>
    <row r="43" customFormat="false" ht="15" hidden="false" customHeight="false" outlineLevel="0" collapsed="false">
      <c r="A43" s="29" t="s">
        <v>81</v>
      </c>
      <c r="B43" s="15" t="e">
        <f aca="false">IF(COUNT('2 - Raw Data Entry'!N23:N25)&lt;3,NA(),AVERAGE('2 - Raw Data Entry'!N23:N25))</f>
        <v>#N/A</v>
      </c>
      <c r="C43" s="15" t="e">
        <f aca="false">IF(COUNT('2 - Raw Data Entry'!N59:N61)&lt;3,NA(),AVERAGE('2 - Raw Data Entry'!N59:N61))</f>
        <v>#N/A</v>
      </c>
      <c r="D43" s="15" t="e">
        <f aca="false">IF(COUNT('2 - Raw Data Entry'!N95:N97)&lt;3,NA(),AVERAGE('2 - Raw Data Entry'!N95:N97))</f>
        <v>#N/A</v>
      </c>
      <c r="E43" s="15" t="e">
        <f aca="false">IF(COUNT('2 - Raw Data Entry'!N131:N133)&lt;3,NA(),AVERAGE('2 - Raw Data Entry'!N131:N133))</f>
        <v>#N/A</v>
      </c>
      <c r="F43" s="37" t="n">
        <f aca="false">'1 - Mix Reference'!B10</f>
        <v>0</v>
      </c>
    </row>
    <row r="44" customFormat="false" ht="15" hidden="false" customHeight="false" outlineLevel="0" collapsed="false">
      <c r="A44" s="29" t="s">
        <v>83</v>
      </c>
      <c r="B44" s="15" t="e">
        <f aca="false">IF(COUNT('2 - Raw Data Entry'!N26:N28)&lt;3,NA(),AVERAGE('2 - Raw Data Entry'!N26:N28))</f>
        <v>#N/A</v>
      </c>
      <c r="C44" s="15" t="e">
        <f aca="false">IF(COUNT('2 - Raw Data Entry'!N62:N64)&lt;3,NA(),AVERAGE('2 - Raw Data Entry'!N62:N64))</f>
        <v>#N/A</v>
      </c>
      <c r="D44" s="15" t="e">
        <f aca="false">IF(COUNT('2 - Raw Data Entry'!N98:N100)&lt;3,NA(),AVERAGE('2 - Raw Data Entry'!N98:N100))</f>
        <v>#N/A</v>
      </c>
      <c r="E44" s="15" t="e">
        <f aca="false">IF(COUNT('2 - Raw Data Entry'!N134:N136)&lt;3,NA(),AVERAGE('2 - Raw Data Entry'!N134:N136))</f>
        <v>#N/A</v>
      </c>
      <c r="F44" s="37" t="n">
        <f aca="false">'1 - Mix Reference'!B11</f>
        <v>5</v>
      </c>
    </row>
    <row r="45" customFormat="false" ht="15" hidden="false" customHeight="false" outlineLevel="0" collapsed="false">
      <c r="A45" s="29" t="s">
        <v>85</v>
      </c>
      <c r="B45" s="15" t="e">
        <f aca="false">IF(COUNT('2 - Raw Data Entry'!N29:N31)&lt;3,NA(),AVERAGE('2 - Raw Data Entry'!N29:N31))</f>
        <v>#N/A</v>
      </c>
      <c r="C45" s="15" t="e">
        <f aca="false">IF(COUNT('2 - Raw Data Entry'!N65:N67)&lt;3,NA(),AVERAGE('2 - Raw Data Entry'!N65:N67))</f>
        <v>#N/A</v>
      </c>
      <c r="D45" s="15" t="e">
        <f aca="false">IF(COUNT('2 - Raw Data Entry'!N101:N103)&lt;3,NA(),AVERAGE('2 - Raw Data Entry'!N101:N103))</f>
        <v>#N/A</v>
      </c>
      <c r="E45" s="15" t="e">
        <f aca="false">IF(COUNT('2 - Raw Data Entry'!N137:N139)&lt;3,NA(),AVERAGE('2 - Raw Data Entry'!N137:N139))</f>
        <v>#N/A</v>
      </c>
      <c r="F45" s="37" t="n">
        <f aca="false">'1 - Mix Reference'!B12</f>
        <v>10</v>
      </c>
    </row>
    <row r="46" customFormat="false" ht="15" hidden="false" customHeight="false" outlineLevel="0" collapsed="false">
      <c r="A46" s="29" t="s">
        <v>86</v>
      </c>
      <c r="B46" s="15" t="e">
        <f aca="false">IF(COUNT('2 - Raw Data Entry'!N32:N34)&lt;3,NA(),AVERAGE('2 - Raw Data Entry'!N32:N34))</f>
        <v>#N/A</v>
      </c>
      <c r="C46" s="15" t="e">
        <f aca="false">IF(COUNT('2 - Raw Data Entry'!N68:N70)&lt;3,NA(),AVERAGE('2 - Raw Data Entry'!N68:N70))</f>
        <v>#N/A</v>
      </c>
      <c r="D46" s="15" t="e">
        <f aca="false">IF(COUNT('2 - Raw Data Entry'!N104:N106)&lt;3,NA(),AVERAGE('2 - Raw Data Entry'!N104:N106))</f>
        <v>#N/A</v>
      </c>
      <c r="E46" s="15" t="e">
        <f aca="false">IF(COUNT('2 - Raw Data Entry'!N140:N142)&lt;3,NA(),AVERAGE('2 - Raw Data Entry'!N140:N142))</f>
        <v>#N/A</v>
      </c>
      <c r="F46" s="37" t="n">
        <f aca="false">'1 - Mix Reference'!B13</f>
        <v>15</v>
      </c>
    </row>
    <row r="47" customFormat="false" ht="15" hidden="false" customHeight="false" outlineLevel="0" collapsed="false">
      <c r="A47" s="29" t="s">
        <v>88</v>
      </c>
      <c r="B47" s="15" t="e">
        <f aca="false">IF(COUNT('2 - Raw Data Entry'!N35:N37)&lt;3,NA(),AVERAGE('2 - Raw Data Entry'!N35:N37))</f>
        <v>#N/A</v>
      </c>
      <c r="C47" s="15" t="e">
        <f aca="false">IF(COUNT('2 - Raw Data Entry'!N71:N73)&lt;3,NA(),AVERAGE('2 - Raw Data Entry'!N71:N73))</f>
        <v>#N/A</v>
      </c>
      <c r="D47" s="15" t="e">
        <f aca="false">IF(COUNT('2 - Raw Data Entry'!N107:N109)&lt;3,NA(),AVERAGE('2 - Raw Data Entry'!N107:N109))</f>
        <v>#N/A</v>
      </c>
      <c r="E47" s="15" t="e">
        <f aca="false">IF(COUNT('2 - Raw Data Entry'!N143:N145)&lt;3,NA(),AVERAGE('2 - Raw Data Entry'!N143:N145))</f>
        <v>#N/A</v>
      </c>
      <c r="F47" s="37" t="n">
        <f aca="false">'1 - Mix Reference'!B14</f>
        <v>20</v>
      </c>
    </row>
    <row r="48" customFormat="false" ht="15" hidden="false" customHeight="false" outlineLevel="0" collapsed="false">
      <c r="A48" s="29" t="s">
        <v>89</v>
      </c>
      <c r="B48" s="15" t="e">
        <f aca="false">IF(COUNT('2 - Raw Data Entry'!N38:N40)&lt;3,NA(),AVERAGE('2 - Raw Data Entry'!N38:N40))</f>
        <v>#N/A</v>
      </c>
      <c r="C48" s="15" t="e">
        <f aca="false">IF(COUNT('2 - Raw Data Entry'!N74:N76)&lt;3,NA(),AVERAGE('2 - Raw Data Entry'!N74:N76))</f>
        <v>#N/A</v>
      </c>
      <c r="D48" s="15" t="e">
        <f aca="false">IF(COUNT('2 - Raw Data Entry'!N110:N112)&lt;3,NA(),AVERAGE('2 - Raw Data Entry'!N110:N112))</f>
        <v>#N/A</v>
      </c>
      <c r="E48" s="15" t="e">
        <f aca="false">IF(COUNT('2 - Raw Data Entry'!N146:N148)&lt;3,NA(),AVERAGE('2 - Raw Data Entry'!N146:N148))</f>
        <v>#N/A</v>
      </c>
      <c r="F48" s="37" t="n">
        <f aca="false">'1 - Mix Reference'!B15</f>
        <v>25</v>
      </c>
    </row>
    <row r="51" customFormat="false" ht="15" hidden="false" customHeight="true" outlineLevel="0" collapsed="false">
      <c r="A51" s="36" t="s">
        <v>338</v>
      </c>
      <c r="B51" s="36"/>
      <c r="C51" s="36"/>
    </row>
    <row r="52" customFormat="false" ht="15" hidden="false" customHeight="false" outlineLevel="0" collapsed="false">
      <c r="A52" s="2" t="s">
        <v>334</v>
      </c>
      <c r="B52" s="2" t="s">
        <v>339</v>
      </c>
    </row>
    <row r="53" customFormat="false" ht="15" hidden="false" customHeight="false" outlineLevel="0" collapsed="false">
      <c r="A53" s="29" t="s">
        <v>70</v>
      </c>
      <c r="B53" s="17" t="e">
        <f aca="false">IF(ISNUMBER('1 - Mix Reference'!H4),'1 - Mix Reference'!H4,NA())</f>
        <v>#N/A</v>
      </c>
    </row>
    <row r="54" customFormat="false" ht="15" hidden="false" customHeight="false" outlineLevel="0" collapsed="false">
      <c r="A54" s="29" t="s">
        <v>74</v>
      </c>
      <c r="B54" s="17" t="e">
        <f aca="false">IF(ISNUMBER('1 - Mix Reference'!H5),'1 - Mix Reference'!H5,NA())</f>
        <v>#N/A</v>
      </c>
    </row>
    <row r="55" customFormat="false" ht="15" hidden="false" customHeight="false" outlineLevel="0" collapsed="false">
      <c r="A55" s="29" t="s">
        <v>76</v>
      </c>
      <c r="B55" s="17" t="e">
        <f aca="false">IF(ISNUMBER('1 - Mix Reference'!H6),'1 - Mix Reference'!H6,NA())</f>
        <v>#N/A</v>
      </c>
    </row>
    <row r="56" customFormat="false" ht="15" hidden="false" customHeight="false" outlineLevel="0" collapsed="false">
      <c r="A56" s="29" t="s">
        <v>77</v>
      </c>
      <c r="B56" s="17" t="e">
        <f aca="false">IF(ISNUMBER('1 - Mix Reference'!H7),'1 - Mix Reference'!H7,NA())</f>
        <v>#N/A</v>
      </c>
    </row>
    <row r="57" customFormat="false" ht="15" hidden="false" customHeight="false" outlineLevel="0" collapsed="false">
      <c r="A57" s="29" t="s">
        <v>78</v>
      </c>
      <c r="B57" s="17" t="e">
        <f aca="false">IF(ISNUMBER('1 - Mix Reference'!H8),'1 - Mix Reference'!H8,NA())</f>
        <v>#N/A</v>
      </c>
    </row>
    <row r="58" customFormat="false" ht="15" hidden="false" customHeight="false" outlineLevel="0" collapsed="false">
      <c r="A58" s="29" t="s">
        <v>79</v>
      </c>
      <c r="B58" s="17" t="e">
        <f aca="false">IF(ISNUMBER('1 - Mix Reference'!H9),'1 - Mix Reference'!H9,NA())</f>
        <v>#N/A</v>
      </c>
    </row>
    <row r="59" customFormat="false" ht="15" hidden="false" customHeight="false" outlineLevel="0" collapsed="false">
      <c r="A59" s="29" t="s">
        <v>81</v>
      </c>
      <c r="B59" s="17" t="e">
        <f aca="false">IF(ISNUMBER('1 - Mix Reference'!H10),'1 - Mix Reference'!H10,NA())</f>
        <v>#N/A</v>
      </c>
    </row>
    <row r="60" customFormat="false" ht="15" hidden="false" customHeight="false" outlineLevel="0" collapsed="false">
      <c r="A60" s="29" t="s">
        <v>83</v>
      </c>
      <c r="B60" s="17" t="e">
        <f aca="false">IF(ISNUMBER('1 - Mix Reference'!H11),'1 - Mix Reference'!H11,NA())</f>
        <v>#N/A</v>
      </c>
    </row>
    <row r="61" customFormat="false" ht="15" hidden="false" customHeight="false" outlineLevel="0" collapsed="false">
      <c r="A61" s="29" t="s">
        <v>85</v>
      </c>
      <c r="B61" s="17" t="e">
        <f aca="false">IF(ISNUMBER('1 - Mix Reference'!H12),'1 - Mix Reference'!H12,NA())</f>
        <v>#N/A</v>
      </c>
    </row>
    <row r="62" customFormat="false" ht="15" hidden="false" customHeight="false" outlineLevel="0" collapsed="false">
      <c r="A62" s="29" t="s">
        <v>86</v>
      </c>
      <c r="B62" s="17" t="e">
        <f aca="false">IF(ISNUMBER('1 - Mix Reference'!H13),'1 - Mix Reference'!H13,NA())</f>
        <v>#N/A</v>
      </c>
    </row>
    <row r="63" customFormat="false" ht="15" hidden="false" customHeight="false" outlineLevel="0" collapsed="false">
      <c r="A63" s="29" t="s">
        <v>88</v>
      </c>
      <c r="B63" s="17" t="e">
        <f aca="false">IF(ISNUMBER('1 - Mix Reference'!H14),'1 - Mix Reference'!H14,NA())</f>
        <v>#N/A</v>
      </c>
    </row>
    <row r="64" customFormat="false" ht="15" hidden="false" customHeight="false" outlineLevel="0" collapsed="false">
      <c r="A64" s="29" t="s">
        <v>89</v>
      </c>
      <c r="B64" s="17" t="e">
        <f aca="false">IF(ISNUMBER('1 - Mix Reference'!H15),'1 - Mix Reference'!H15,NA())</f>
        <v>#N/A</v>
      </c>
    </row>
    <row r="67" customFormat="false" ht="15" hidden="false" customHeight="true" outlineLevel="0" collapsed="false">
      <c r="A67" s="36" t="s">
        <v>340</v>
      </c>
      <c r="B67" s="36"/>
      <c r="C67" s="36"/>
      <c r="D67" s="36"/>
      <c r="E67" s="36"/>
      <c r="F67" s="36"/>
      <c r="G67" s="36"/>
    </row>
    <row r="68" customFormat="false" ht="15" hidden="false" customHeight="false" outlineLevel="0" collapsed="false">
      <c r="A68" s="2" t="s">
        <v>341</v>
      </c>
      <c r="B68" s="2" t="s">
        <v>342</v>
      </c>
      <c r="C68" s="2" t="s">
        <v>343</v>
      </c>
      <c r="D68" s="2" t="s">
        <v>344</v>
      </c>
      <c r="E68" s="2" t="s">
        <v>345</v>
      </c>
      <c r="F68" s="2" t="s">
        <v>346</v>
      </c>
      <c r="G68" s="2" t="s">
        <v>347</v>
      </c>
    </row>
    <row r="69" customFormat="false" ht="15" hidden="false" customHeight="false" outlineLevel="0" collapsed="false">
      <c r="A69" s="29" t="s">
        <v>308</v>
      </c>
      <c r="B69" s="17" t="e">
        <f aca="false">B5</f>
        <v>#N/A</v>
      </c>
      <c r="C69" s="17" t="e">
        <f aca="false">B6</f>
        <v>#N/A</v>
      </c>
      <c r="D69" s="17" t="e">
        <f aca="false">B7</f>
        <v>#N/A</v>
      </c>
      <c r="E69" s="17" t="e">
        <f aca="false">B8</f>
        <v>#N/A</v>
      </c>
      <c r="F69" s="17" t="e">
        <f aca="false">B9</f>
        <v>#N/A</v>
      </c>
      <c r="G69" s="17" t="e">
        <f aca="false">B10</f>
        <v>#N/A</v>
      </c>
    </row>
    <row r="70" customFormat="false" ht="15" hidden="false" customHeight="false" outlineLevel="0" collapsed="false">
      <c r="A70" s="29" t="s">
        <v>310</v>
      </c>
      <c r="B70" s="17" t="e">
        <f aca="false">C5</f>
        <v>#N/A</v>
      </c>
      <c r="C70" s="17" t="e">
        <f aca="false">C6</f>
        <v>#N/A</v>
      </c>
      <c r="D70" s="17" t="e">
        <f aca="false">C7</f>
        <v>#N/A</v>
      </c>
      <c r="E70" s="17" t="e">
        <f aca="false">C8</f>
        <v>#N/A</v>
      </c>
      <c r="F70" s="17" t="e">
        <f aca="false">C9</f>
        <v>#N/A</v>
      </c>
      <c r="G70" s="17" t="e">
        <f aca="false">C10</f>
        <v>#N/A</v>
      </c>
    </row>
    <row r="71" customFormat="false" ht="15" hidden="false" customHeight="false" outlineLevel="0" collapsed="false">
      <c r="A71" s="29" t="s">
        <v>313</v>
      </c>
      <c r="B71" s="17" t="e">
        <f aca="false">D5</f>
        <v>#N/A</v>
      </c>
      <c r="C71" s="17" t="e">
        <f aca="false">D6</f>
        <v>#N/A</v>
      </c>
      <c r="D71" s="17" t="e">
        <f aca="false">D7</f>
        <v>#N/A</v>
      </c>
      <c r="E71" s="17" t="e">
        <f aca="false">D8</f>
        <v>#N/A</v>
      </c>
      <c r="F71" s="17" t="e">
        <f aca="false">D9</f>
        <v>#N/A</v>
      </c>
      <c r="G71" s="17" t="e">
        <f aca="false">D10</f>
        <v>#N/A</v>
      </c>
    </row>
    <row r="72" customFormat="false" ht="15" hidden="false" customHeight="false" outlineLevel="0" collapsed="false">
      <c r="A72" s="29" t="s">
        <v>316</v>
      </c>
      <c r="B72" s="17" t="e">
        <f aca="false">E5</f>
        <v>#N/A</v>
      </c>
      <c r="C72" s="17" t="e">
        <f aca="false">E6</f>
        <v>#N/A</v>
      </c>
      <c r="D72" s="17" t="e">
        <f aca="false">E7</f>
        <v>#N/A</v>
      </c>
      <c r="E72" s="17" t="e">
        <f aca="false">E8</f>
        <v>#N/A</v>
      </c>
      <c r="F72" s="17" t="e">
        <f aca="false">E9</f>
        <v>#N/A</v>
      </c>
      <c r="G72" s="17" t="e">
        <f aca="false">E10</f>
        <v>#N/A</v>
      </c>
    </row>
    <row r="75" customFormat="false" ht="15" hidden="false" customHeight="true" outlineLevel="0" collapsed="false">
      <c r="A75" s="36" t="s">
        <v>348</v>
      </c>
      <c r="B75" s="36"/>
      <c r="C75" s="36"/>
      <c r="D75" s="36"/>
      <c r="E75" s="36"/>
      <c r="F75" s="36"/>
      <c r="G75" s="36"/>
    </row>
    <row r="76" customFormat="false" ht="15" hidden="false" customHeight="false" outlineLevel="0" collapsed="false">
      <c r="A76" s="2" t="s">
        <v>341</v>
      </c>
      <c r="B76" s="2" t="s">
        <v>342</v>
      </c>
      <c r="C76" s="2" t="s">
        <v>343</v>
      </c>
      <c r="D76" s="2" t="s">
        <v>344</v>
      </c>
      <c r="E76" s="2" t="s">
        <v>345</v>
      </c>
      <c r="F76" s="2" t="s">
        <v>346</v>
      </c>
      <c r="G76" s="2" t="s">
        <v>347</v>
      </c>
    </row>
    <row r="77" customFormat="false" ht="15" hidden="false" customHeight="false" outlineLevel="0" collapsed="false">
      <c r="A77" s="29" t="s">
        <v>308</v>
      </c>
      <c r="B77" s="17" t="e">
        <f aca="false">B11</f>
        <v>#N/A</v>
      </c>
      <c r="C77" s="17" t="e">
        <f aca="false">B12</f>
        <v>#N/A</v>
      </c>
      <c r="D77" s="17" t="e">
        <f aca="false">B13</f>
        <v>#N/A</v>
      </c>
      <c r="E77" s="17" t="e">
        <f aca="false">B14</f>
        <v>#N/A</v>
      </c>
      <c r="F77" s="17" t="e">
        <f aca="false">B15</f>
        <v>#N/A</v>
      </c>
      <c r="G77" s="17" t="e">
        <f aca="false">B16</f>
        <v>#N/A</v>
      </c>
    </row>
    <row r="78" customFormat="false" ht="15" hidden="false" customHeight="false" outlineLevel="0" collapsed="false">
      <c r="A78" s="29" t="s">
        <v>310</v>
      </c>
      <c r="B78" s="17" t="e">
        <f aca="false">C11</f>
        <v>#N/A</v>
      </c>
      <c r="C78" s="17" t="e">
        <f aca="false">C12</f>
        <v>#N/A</v>
      </c>
      <c r="D78" s="17" t="e">
        <f aca="false">C13</f>
        <v>#N/A</v>
      </c>
      <c r="E78" s="17" t="e">
        <f aca="false">C14</f>
        <v>#N/A</v>
      </c>
      <c r="F78" s="17" t="e">
        <f aca="false">C15</f>
        <v>#N/A</v>
      </c>
      <c r="G78" s="17" t="e">
        <f aca="false">C16</f>
        <v>#N/A</v>
      </c>
    </row>
    <row r="79" customFormat="false" ht="15" hidden="false" customHeight="false" outlineLevel="0" collapsed="false">
      <c r="A79" s="29" t="s">
        <v>313</v>
      </c>
      <c r="B79" s="17" t="e">
        <f aca="false">D11</f>
        <v>#N/A</v>
      </c>
      <c r="C79" s="17" t="e">
        <f aca="false">D12</f>
        <v>#N/A</v>
      </c>
      <c r="D79" s="17" t="e">
        <f aca="false">D13</f>
        <v>#N/A</v>
      </c>
      <c r="E79" s="17" t="e">
        <f aca="false">D14</f>
        <v>#N/A</v>
      </c>
      <c r="F79" s="17" t="e">
        <f aca="false">D15</f>
        <v>#N/A</v>
      </c>
      <c r="G79" s="17" t="e">
        <f aca="false">D16</f>
        <v>#N/A</v>
      </c>
    </row>
    <row r="80" customFormat="false" ht="15" hidden="false" customHeight="false" outlineLevel="0" collapsed="false">
      <c r="A80" s="29" t="s">
        <v>316</v>
      </c>
      <c r="B80" s="17" t="e">
        <f aca="false">E11</f>
        <v>#N/A</v>
      </c>
      <c r="C80" s="17" t="e">
        <f aca="false">E12</f>
        <v>#N/A</v>
      </c>
      <c r="D80" s="17" t="e">
        <f aca="false">E13</f>
        <v>#N/A</v>
      </c>
      <c r="E80" s="17" t="e">
        <f aca="false">E14</f>
        <v>#N/A</v>
      </c>
      <c r="F80" s="17" t="e">
        <f aca="false">E15</f>
        <v>#N/A</v>
      </c>
      <c r="G80" s="17" t="e">
        <f aca="false">E16</f>
        <v>#N/A</v>
      </c>
    </row>
    <row r="83" customFormat="false" ht="15" hidden="false" customHeight="true" outlineLevel="0" collapsed="false">
      <c r="A83" s="36" t="s">
        <v>349</v>
      </c>
      <c r="B83" s="36"/>
      <c r="C83" s="36"/>
      <c r="D83" s="36"/>
      <c r="E83" s="36"/>
    </row>
    <row r="84" customFormat="false" ht="15" hidden="false" customHeight="false" outlineLevel="0" collapsed="false">
      <c r="A84" s="2" t="s">
        <v>350</v>
      </c>
      <c r="B84" s="2" t="s">
        <v>308</v>
      </c>
      <c r="C84" s="2" t="s">
        <v>310</v>
      </c>
      <c r="D84" s="2" t="s">
        <v>313</v>
      </c>
      <c r="E84" s="2" t="s">
        <v>316</v>
      </c>
    </row>
    <row r="85" customFormat="false" ht="15" hidden="false" customHeight="false" outlineLevel="0" collapsed="false">
      <c r="A85" s="29" t="s">
        <v>351</v>
      </c>
      <c r="B85" s="17" t="e">
        <f aca="false">B5</f>
        <v>#N/A</v>
      </c>
      <c r="C85" s="17" t="e">
        <f aca="false">C5</f>
        <v>#N/A</v>
      </c>
      <c r="D85" s="17" t="e">
        <f aca="false">D5</f>
        <v>#N/A</v>
      </c>
      <c r="E85" s="17" t="e">
        <f aca="false">E5</f>
        <v>#N/A</v>
      </c>
    </row>
    <row r="86" customFormat="false" ht="15" hidden="false" customHeight="false" outlineLevel="0" collapsed="false">
      <c r="A86" s="29" t="s">
        <v>352</v>
      </c>
      <c r="B86" s="17" t="e">
        <f aca="false">B11</f>
        <v>#N/A</v>
      </c>
      <c r="C86" s="17" t="e">
        <f aca="false">C11</f>
        <v>#N/A</v>
      </c>
      <c r="D86" s="17" t="e">
        <f aca="false">D11</f>
        <v>#N/A</v>
      </c>
      <c r="E86" s="17" t="e">
        <f aca="false">E11</f>
        <v>#N/A</v>
      </c>
    </row>
    <row r="87" customFormat="false" ht="15" hidden="false" customHeight="false" outlineLevel="0" collapsed="false">
      <c r="A87" s="29" t="s">
        <v>353</v>
      </c>
      <c r="B87" s="17" t="e">
        <f aca="false">B14</f>
        <v>#N/A</v>
      </c>
      <c r="C87" s="17" t="e">
        <f aca="false">C14</f>
        <v>#N/A</v>
      </c>
      <c r="D87" s="17" t="e">
        <f aca="false">D14</f>
        <v>#N/A</v>
      </c>
      <c r="E87" s="17" t="e">
        <f aca="false">E14</f>
        <v>#N/A</v>
      </c>
    </row>
    <row r="90" customFormat="false" ht="15" hidden="false" customHeight="true" outlineLevel="0" collapsed="false">
      <c r="A90" s="36" t="s">
        <v>354</v>
      </c>
      <c r="B90" s="36"/>
      <c r="C90" s="36"/>
      <c r="D90" s="36"/>
      <c r="E90" s="36"/>
    </row>
    <row r="91" customFormat="false" ht="15" hidden="false" customHeight="false" outlineLevel="0" collapsed="false">
      <c r="A91" s="2" t="s">
        <v>350</v>
      </c>
      <c r="B91" s="2" t="s">
        <v>308</v>
      </c>
      <c r="C91" s="2" t="s">
        <v>310</v>
      </c>
      <c r="D91" s="2" t="s">
        <v>313</v>
      </c>
      <c r="E91" s="2" t="s">
        <v>316</v>
      </c>
    </row>
    <row r="92" customFormat="false" ht="15" hidden="false" customHeight="false" outlineLevel="0" collapsed="false">
      <c r="A92" s="29" t="s">
        <v>355</v>
      </c>
      <c r="B92" s="17" t="e">
        <f aca="false">AVERAGE(B5:B10)</f>
        <v>#N/A</v>
      </c>
      <c r="C92" s="17" t="e">
        <f aca="false">AVERAGE(C5:C10)</f>
        <v>#N/A</v>
      </c>
      <c r="D92" s="17" t="e">
        <f aca="false">AVERAGE(D5:D10)</f>
        <v>#N/A</v>
      </c>
      <c r="E92" s="17" t="e">
        <f aca="false">AVERAGE(E5:E10)</f>
        <v>#N/A</v>
      </c>
    </row>
    <row r="93" customFormat="false" ht="15" hidden="false" customHeight="false" outlineLevel="0" collapsed="false">
      <c r="A93" s="29" t="s">
        <v>356</v>
      </c>
      <c r="B93" s="17" t="e">
        <f aca="false">AVERAGE(B11:B16)</f>
        <v>#N/A</v>
      </c>
      <c r="C93" s="17" t="e">
        <f aca="false">AVERAGE(C11:C16)</f>
        <v>#N/A</v>
      </c>
      <c r="D93" s="17" t="e">
        <f aca="false">AVERAGE(D11:D16)</f>
        <v>#N/A</v>
      </c>
      <c r="E93" s="17" t="e">
        <f aca="false">AVERAGE(E11:E16)</f>
        <v>#N/A</v>
      </c>
    </row>
  </sheetData>
  <mergeCells count="10">
    <mergeCell ref="A1:H1"/>
    <mergeCell ref="A2:H2"/>
    <mergeCell ref="A3:F3"/>
    <mergeCell ref="A19:F19"/>
    <mergeCell ref="A35:F35"/>
    <mergeCell ref="A51:C51"/>
    <mergeCell ref="A67:G67"/>
    <mergeCell ref="A75:G75"/>
    <mergeCell ref="A83:E83"/>
    <mergeCell ref="A90:E90"/>
  </mergeCells>
  <conditionalFormatting sqref="B3:H100">
    <cfRule type="expression" priority="2" aboveAverage="0" equalAverage="0" bottom="0" percent="0" rank="0" text="" dxfId="1">
      <formula>ISNA(B3)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2026-09-21T06:47:42Z</dcterms:created>
  <dc:creator>openpyxl</dc:creator>
  <dc:description/>
  <dc:language>en-US</dc:language>
  <cp:lastModifiedBy/>
  <dcterms:modified xsi:type="dcterms:W3CDTF">2026-09-21T06:47:47Z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